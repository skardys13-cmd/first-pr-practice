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ME" sheetId="1" state="visible" r:id="rId1"/>
    <sheet name="Labels" sheetId="2" state="visible" r:id="rId2"/>
    <sheet name="Assumptions" sheetId="3" state="visible" r:id="rId3"/>
    <sheet name="Roster" sheetId="4" state="visible" r:id="rId4"/>
    <sheet name="Book" sheetId="5" state="visible" r:id="rId5"/>
    <sheet name="FeeSchedule" sheetId="6" state="visible" r:id="rId6"/>
    <sheet name="Tasks" sheetId="7" state="visible" r:id="rId7"/>
    <sheet name="Engine" sheetId="8" state="visible" r:id="rId8"/>
    <sheet name="Case1_Departure" sheetId="9" state="visible" r:id="rId9"/>
    <sheet name="Case2_Capacity" sheetId="10" state="visible" r:id="rId10"/>
    <sheet name="Case3_CostToServe" sheetId="11" state="visible" r:id="rId11"/>
    <sheet name="Case4_Seat" sheetId="12" state="visible" r:id="rId12"/>
    <sheet name="Dashboard" sheetId="13" state="visible" r:id="rId13"/>
  </sheets>
  <definedNames>
    <definedName name="Anonymise">'Labels'!$B$12</definedName>
    <definedName name="Label_Key">'Labels'!$A$2:$A$10</definedName>
    <definedName name="Label_Anon">'Labels'!$B$2:$B$10</definedName>
    <definedName name="Label_Real">'Labels'!$C$2:$C$10</definedName>
    <definedName name="Scenario">'Assumptions'!$C$5</definedName>
    <definedName name="Consultant_Present">'Assumptions'!$C$7</definedName>
    <definedName name="Resp_Internal">'Assumptions'!$C$8</definedName>
    <definedName name="Efficiency">'Assumptions'!$C$9</definedName>
    <definedName name="Extra_Ops_Fte">'Assumptions'!$C$10</definedName>
    <definedName name="Seat_Ops_Alloc">'Assumptions'!$C$11</definedName>
    <definedName name="As_Of">'Assumptions'!$C$12</definedName>
    <definedName name="Horizon">'Assumptions'!$C$13</definedName>
    <definedName name="Benefits_Load">'Assumptions'!$C$16</definedName>
    <definedName name="Productive_Hours">'Assumptions'!$C$17</definedName>
    <definedName name="Growth_Rate">'Assumptions'!$C$18</definedName>
    <definedName name="Switching_Uplift">'Assumptions'!$C$19</definedName>
    <definedName name="Firm_Overhead_PH">'Assumptions'!$C$20</definedName>
    <definedName name="Fee_Realisation">'Assumptions'!$C$21</definedName>
    <definedName name="Departure_Days">'Assumptions'!$C$22</definedName>
    <definedName name="Ops_Seat_Comp">'Assumptions'!$C$23</definedName>
    <definedName name="Backfill_Cost">'Assumptions'!$C$24</definedName>
    <definedName name="Failure_Cost">'Assumptions'!$C$25</definedName>
    <definedName name="Failures_Avoided">'Assumptions'!$C$26</definedName>
    <definedName name="Para_Backfill_Comp">'Assumptions'!$C$27</definedName>
    <definedName name="Advisor_Basis">'Assumptions'!$C$28</definedName>
    <definedName name="Roster_Active">'Roster'!$K$2:$K$8</definedName>
    <definedName name="Roster_Adv">'Roster'!$D$2:$D$8</definedName>
    <definedName name="Roster_FTE">'Roster'!$C$2:$C$8</definedName>
    <definedName name="Roster_Loaded">'Roster'!$N$2:$N$8</definedName>
    <definedName name="Roster_Hourly">'Roster'!$O$2:$O$8</definedName>
    <definedName name="Roster_OpsHours">'Roster'!$P$2:$P$8</definedName>
    <definedName name="Ops_Hours_Available">'Roster'!$P$10</definedName>
    <definedName name="Total_FTE">'Roster'!$C$10</definedName>
    <definedName name="Total_HH">'Book'!$C$6</definedName>
    <definedName name="Book_HH">'Book'!$C$2:$C$5</definedName>
    <definedName name="Book_AvgAum">'Book'!$D$2:$D$5</definedName>
    <definedName name="Book_Acct">'Book'!$E$2:$E$5</definedName>
    <definedName name="Book_Mix">'Book'!$F$2:$F$5</definedName>
    <definedName name="Book_HHAcct">'Book'!$I$2:$I$5</definedName>
    <definedName name="Book_New">'Book'!$J$2:$J$5</definedName>
    <definedName name="Book_RevPH">'Book'!$L$2:$L$5</definedName>
    <definedName name="Revenue_Total">'Book'!$M$6</definedName>
    <definedName name="AUM_Total">'Book'!$H$6</definedName>
    <definedName name="Fee_From">'FeeSchedule'!$B$2:$B$6</definedName>
    <definedName name="Fee_To">'FeeSchedule'!$C$2:$C$6</definedName>
    <definedName name="Fee_Rate">'FeeSchedule'!$D$2:$D$6</definedName>
    <definedName name="Fee_Delta">'FeeSchedule'!$E$2:$E$6</definedName>
    <definedName name="Tasks_Basis">'Tasks'!$C$2:$C$42</definedName>
    <definedName name="Tasks_Min">'Tasks'!$D$2:$D$42</definedName>
    <definedName name="Tasks_Occ">'Tasks'!$E$2:$E$42</definedName>
    <definedName name="Tasks_A1">'Tasks'!$F$2:$F$42</definedName>
    <definedName name="Tasks_A2">'Tasks'!$G$2:$G$42</definedName>
    <definedName name="Tasks_A3">'Tasks'!$H$2:$H$42</definedName>
    <definedName name="Tasks_A4">'Tasks'!$I$2:$I$42</definedName>
    <definedName name="Tasks_Owner">'Tasks'!$J$2:$J$42</definedName>
    <definedName name="Tasks_WT">'Tasks'!$K$2:$K$42</definedName>
    <definedName name="Tasks_Tag">'Tasks'!$L$2:$L$42</definedName>
    <definedName name="Tasks_Hours">'Tasks'!$N$2:$N$42</definedName>
    <definedName name="Ledger_Tags">'Assumptions'!$E$16:$E$93</definedName>
    <definedName name="Ledger_Count">'Assumptions'!$C$95</definedName>
    <definedName name="Ledger_Placeholders">'Assumptions'!$C$100</definedName>
    <definedName name="C1_Absorb_Util">'Case1_Departure'!$D$19</definedName>
    <definedName name="C1_Internal_Avail">'Case1_Departure'!$C$21</definedName>
    <definedName name="C1_Internal_Cost">'Case1_Departure'!$B$21</definedName>
    <definedName name="C1_Catalogued">'Case1_Departure'!$B$6</definedName>
    <definedName name="C1_Unmapped">'Case1_Departure'!$B$8</definedName>
    <definedName name="Monthly_Growth">'Case2_Capacity'!$B$3</definedName>
    <definedName name="Proj_Req">'Case2_Capacity'!$I$6:$I$78</definedName>
    <definedName name="Proj_HH">'Case2_Capacity'!$G$6:$G$78</definedName>
    <definedName name="Proj_Flag">'Case2_Capacity'!$L$6:$L$78</definedName>
    <definedName name="Proj_FlagSeat">'Case2_Capacity'!$M$6:$M$78</definedName>
    <definedName name="C2_BreakDate">'Case2_Capacity'!$E$84</definedName>
    <definedName name="C2_BreakHH">'Case2_Capacity'!$E$83</definedName>
    <definedName name="C2_BreakMonths">'Case2_Capacity'!$E$82</definedName>
    <definedName name="C4_SeatCost">'Case4_Seat'!$B$5</definedName>
  </definedNames>
  <calcPr calcId="124519" fullCalcOnLoad="1"/>
</workbook>
</file>

<file path=xl/styles.xml><?xml version="1.0" encoding="utf-8"?>
<styleSheet xmlns="http://schemas.openxmlformats.org/spreadsheetml/2006/main">
  <numFmts count="8">
    <numFmt numFmtId="164" formatCode="0.0%"/>
    <numFmt numFmtId="165" formatCode="#,##0.0"/>
    <numFmt numFmtId="166" formatCode="yyyy-mm-dd"/>
    <numFmt numFmtId="167" formatCode="$#,##0;($#,##0);-"/>
    <numFmt numFmtId="168" formatCode="$#,##0.00;($#,##0.00);-"/>
    <numFmt numFmtId="169" formatCode="mmmm yyyy"/>
    <numFmt numFmtId="170" formatCode="mmm yyyy"/>
    <numFmt numFmtId="171" formatCode="0.00&quot;x&quot;"/>
  </numFmts>
  <fonts count="10">
    <font>
      <name val="Calibri"/>
      <family val="2"/>
      <color theme="1"/>
      <sz val="11"/>
      <scheme val="minor"/>
    </font>
    <font>
      <name val="Arial"/>
      <b val="1"/>
      <sz val="14"/>
    </font>
    <font>
      <name val="Arial"/>
      <color rgb="00666666"/>
      <sz val="9"/>
    </font>
    <font>
      <name val="Arial"/>
      <b val="1"/>
      <sz val="11"/>
    </font>
    <font>
      <name val="Arial"/>
      <sz val="10"/>
    </font>
    <font>
      <name val="Arial"/>
      <b val="1"/>
      <sz val="10"/>
    </font>
    <font>
      <name val="Arial"/>
      <b val="1"/>
      <color rgb="00FFFFFF"/>
      <sz val="9"/>
    </font>
    <font>
      <name val="Arial"/>
      <color rgb="000000FF"/>
      <sz val="10"/>
    </font>
    <font>
      <name val="Arial"/>
      <b val="1"/>
      <color rgb="00C00000"/>
      <sz val="10"/>
    </font>
    <font>
      <name val="Arial"/>
      <color rgb="00008000"/>
      <sz val="10"/>
    </font>
  </fonts>
  <fills count="6">
    <fill>
      <patternFill/>
    </fill>
    <fill>
      <patternFill patternType="gray125"/>
    </fill>
    <fill>
      <patternFill patternType="solid">
        <fgColor rgb="001C6B52"/>
      </patternFill>
    </fill>
    <fill>
      <patternFill patternType="solid">
        <fgColor rgb="00FFF7DC"/>
      </patternFill>
    </fill>
    <fill>
      <patternFill patternType="solid">
        <fgColor rgb="00FFF2A8"/>
      </patternFill>
    </fill>
    <fill>
      <patternFill patternType="solid">
        <fgColor rgb="00FFFFFF"/>
      </patternFill>
    </fill>
  </fills>
  <borders count="6">
    <border>
      <left/>
      <right/>
      <top/>
      <bottom/>
      <diagonal/>
    </border>
    <border>
      <left style="thin">
        <color rgb="00D5DAD5"/>
      </left>
      <right style="thin">
        <color rgb="00D5DAD5"/>
      </right>
      <top style="thin">
        <color rgb="00D5DAD5"/>
      </top>
      <bottom style="thin">
        <color rgb="00D5DAD5"/>
      </bottom>
    </border>
    <border>
      <left/>
      <right/>
      <top style="thin">
        <color rgb="00D5DAD5"/>
      </top>
      <bottom/>
      <diagonal/>
    </border>
    <border>
      <left/>
      <right style="thin">
        <color rgb="00D5DAD5"/>
      </right>
      <top style="thin">
        <color rgb="00D5DAD5"/>
      </top>
      <bottom/>
      <diagonal/>
    </border>
    <border>
      <left/>
      <right/>
      <top style="thin">
        <color rgb="00D5DAD5"/>
      </top>
      <bottom style="thin">
        <color rgb="00D5DAD5"/>
      </bottom>
      <diagonal/>
    </border>
    <border>
      <left/>
      <right style="thin">
        <color rgb="00D5DAD5"/>
      </right>
      <top style="thin">
        <color rgb="00D5DAD5"/>
      </top>
      <bottom style="thin">
        <color rgb="00D5DAD5"/>
      </bottom>
      <diagonal/>
    </border>
  </borders>
  <cellStyleXfs count="1">
    <xf numFmtId="0" fontId="0" fillId="0" borderId="0"/>
  </cellStyleXfs>
  <cellXfs count="66">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horizontal="left" vertical="top" wrapText="1"/>
    </xf>
    <xf numFmtId="0" fontId="5" fillId="0" borderId="0" applyAlignment="1" pivotButton="0" quotePrefix="0" xfId="0">
      <alignment horizontal="left" vertical="top" wrapText="1"/>
    </xf>
    <xf numFmtId="0" fontId="6" fillId="2" borderId="1" applyAlignment="1" pivotButton="0" quotePrefix="0" xfId="0">
      <alignment horizontal="left" vertical="center" wrapText="1"/>
    </xf>
    <xf numFmtId="0" fontId="4" fillId="0" borderId="1" pivotButton="0" quotePrefix="0" xfId="0"/>
    <xf numFmtId="0" fontId="7" fillId="3" borderId="1" pivotButton="0" quotePrefix="0" xfId="0"/>
    <xf numFmtId="0" fontId="7" fillId="4" borderId="1" pivotButton="0" quotePrefix="0" xfId="0"/>
    <xf numFmtId="0" fontId="5" fillId="0" borderId="1" pivotButton="0" quotePrefix="0" xfId="0"/>
    <xf numFmtId="3" fontId="7" fillId="4" borderId="1" pivotButton="0" quotePrefix="0" xfId="0"/>
    <xf numFmtId="0" fontId="2" fillId="0" borderId="1" pivotButton="0" quotePrefix="0" xfId="0"/>
    <xf numFmtId="0" fontId="2" fillId="0" borderId="1" applyAlignment="1" pivotButton="0" quotePrefix="0" xfId="0">
      <alignment horizontal="left" vertical="top" wrapText="1"/>
    </xf>
    <xf numFmtId="0" fontId="4" fillId="5" borderId="1" pivotButton="0" quotePrefix="0" xfId="0"/>
    <xf numFmtId="3" fontId="4" fillId="5" borderId="1" pivotButton="0" quotePrefix="0" xfId="0"/>
    <xf numFmtId="164" fontId="7" fillId="4" borderId="1" pivotButton="0" quotePrefix="0" xfId="0"/>
    <xf numFmtId="165" fontId="7" fillId="4" borderId="1" pivotButton="0" quotePrefix="0" xfId="0"/>
    <xf numFmtId="166" fontId="7" fillId="4" borderId="1" pivotButton="0" quotePrefix="0" xfId="0"/>
    <xf numFmtId="0" fontId="4" fillId="0" borderId="1" applyAlignment="1" pivotButton="0" quotePrefix="0" xfId="0">
      <alignment horizontal="left" vertical="top" wrapText="1"/>
    </xf>
    <xf numFmtId="164" fontId="7" fillId="3" borderId="1" pivotButton="0" quotePrefix="0" xfId="0"/>
    <xf numFmtId="3" fontId="7" fillId="3" borderId="1" pivotButton="0" quotePrefix="0" xfId="0"/>
    <xf numFmtId="167" fontId="7" fillId="4" borderId="1" pivotButton="0" quotePrefix="0" xfId="0"/>
    <xf numFmtId="0" fontId="8" fillId="0" borderId="1" pivotButton="0" quotePrefix="0" xfId="0"/>
    <xf numFmtId="0" fontId="9" fillId="0" borderId="1" applyAlignment="1" pivotButton="0" quotePrefix="0" xfId="0">
      <alignment horizontal="left" vertical="top" wrapText="1"/>
    </xf>
    <xf numFmtId="167" fontId="9" fillId="0" borderId="1" pivotButton="0" quotePrefix="0" xfId="0"/>
    <xf numFmtId="4" fontId="9" fillId="0" borderId="1" pivotButton="0" quotePrefix="0" xfId="0"/>
    <xf numFmtId="164" fontId="9" fillId="0" borderId="1" pivotButton="0" quotePrefix="0" xfId="0"/>
    <xf numFmtId="0" fontId="9" fillId="0" borderId="1" pivotButton="0" quotePrefix="0" xfId="0"/>
    <xf numFmtId="3" fontId="5" fillId="0" borderId="1" pivotButton="0" quotePrefix="0" xfId="0"/>
    <xf numFmtId="3" fontId="4" fillId="0" borderId="1" pivotButton="0" quotePrefix="0" xfId="0"/>
    <xf numFmtId="3" fontId="8" fillId="0" borderId="1" pivotButton="0" quotePrefix="0" xfId="0"/>
    <xf numFmtId="4" fontId="7" fillId="3" borderId="1" pivotButton="0" quotePrefix="0" xfId="0"/>
    <xf numFmtId="164" fontId="4" fillId="0" borderId="1" pivotButton="0" quotePrefix="0" xfId="0"/>
    <xf numFmtId="167" fontId="4" fillId="0" borderId="1" pivotButton="0" quotePrefix="0" xfId="0"/>
    <xf numFmtId="168" fontId="4" fillId="0" borderId="1" pivotButton="0" quotePrefix="0" xfId="0"/>
    <xf numFmtId="165" fontId="4" fillId="0" borderId="1" pivotButton="0" quotePrefix="0" xfId="0"/>
    <xf numFmtId="167" fontId="7" fillId="3" borderId="1" pivotButton="0" quotePrefix="0" xfId="0"/>
    <xf numFmtId="4" fontId="5" fillId="0" borderId="1" pivotButton="0" quotePrefix="0" xfId="0"/>
    <xf numFmtId="165" fontId="5" fillId="0" borderId="1" pivotButton="0" quotePrefix="0" xfId="0"/>
    <xf numFmtId="165" fontId="7" fillId="3" borderId="1" pivotButton="0" quotePrefix="0" xfId="0"/>
    <xf numFmtId="167" fontId="5" fillId="0" borderId="1" pivotButton="0" quotePrefix="0" xfId="0"/>
    <xf numFmtId="164" fontId="5" fillId="0" borderId="1" pivotButton="0" quotePrefix="0" xfId="0"/>
    <xf numFmtId="10" fontId="7" fillId="3" borderId="1" pivotButton="0" quotePrefix="0" xfId="0"/>
    <xf numFmtId="10" fontId="4" fillId="0" borderId="1" pivotButton="0" quotePrefix="0" xfId="0"/>
    <xf numFmtId="4" fontId="7" fillId="4" borderId="1" pivotButton="0" quotePrefix="0" xfId="0"/>
    <xf numFmtId="0" fontId="6" fillId="2" borderId="1" pivotButton="0" quotePrefix="0" xfId="0"/>
    <xf numFmtId="0" fontId="4" fillId="2" borderId="1" pivotButton="0" quotePrefix="0" xfId="0"/>
    <xf numFmtId="4" fontId="4" fillId="0" borderId="1" pivotButton="0" quotePrefix="0" xfId="0"/>
    <xf numFmtId="169" fontId="4" fillId="0" borderId="1" pivotButton="0" quotePrefix="0" xfId="0"/>
    <xf numFmtId="166" fontId="4" fillId="0" borderId="1" pivotButton="0" quotePrefix="0" xfId="0"/>
    <xf numFmtId="165" fontId="8" fillId="0" borderId="1" pivotButton="0" quotePrefix="0" xfId="0"/>
    <xf numFmtId="0" fontId="5" fillId="0" borderId="1" applyAlignment="1" pivotButton="0" quotePrefix="0" xfId="0">
      <alignment horizontal="left" vertical="top" wrapText="1"/>
    </xf>
    <xf numFmtId="0" fontId="0" fillId="0" borderId="4" pivotButton="0" quotePrefix="0" xfId="0"/>
    <xf numFmtId="0" fontId="0" fillId="0" borderId="5" pivotButton="0" quotePrefix="0" xfId="0"/>
    <xf numFmtId="170" fontId="4" fillId="0" borderId="1" pivotButton="0" quotePrefix="0" xfId="0"/>
    <xf numFmtId="0" fontId="2" fillId="0" borderId="0" applyAlignment="1" pivotButton="0" quotePrefix="0" xfId="0">
      <alignment horizontal="left" vertical="top" wrapText="1"/>
    </xf>
    <xf numFmtId="0" fontId="8" fillId="0" borderId="1" applyAlignment="1" pivotButton="0" quotePrefix="0" xfId="0">
      <alignment horizontal="left" vertical="top" wrapText="1"/>
    </xf>
    <xf numFmtId="3" fontId="0" fillId="0" borderId="0" pivotButton="0" quotePrefix="0" xfId="0"/>
    <xf numFmtId="167" fontId="0" fillId="0" borderId="0" pivotButton="0" quotePrefix="0" xfId="0"/>
    <xf numFmtId="168" fontId="5" fillId="0" borderId="1" pivotButton="0" quotePrefix="0" xfId="0"/>
    <xf numFmtId="171" fontId="5" fillId="0" borderId="1" pivotButton="0" quotePrefix="0" xfId="0"/>
    <xf numFmtId="167" fontId="8" fillId="0" borderId="1" pivotButton="0" quotePrefix="0" xfId="0"/>
    <xf numFmtId="0" fontId="8" fillId="0" borderId="0" pivotButton="0" quotePrefix="0" xfId="0"/>
    <xf numFmtId="164" fontId="8" fillId="0" borderId="1" pivotButton="0" quotePrefix="0" xfId="0"/>
    <xf numFmtId="169" fontId="8"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styles" Target="styles.xml" Id="rId14" /><Relationship Type="http://schemas.openxmlformats.org/officeDocument/2006/relationships/theme" Target="theme/theme1.xml" Id="rId15" /></Relationships>
</file>

<file path=xl/charts/chart1.xml><?xml version="1.0" encoding="utf-8"?>
<chartSpace xmlns:a="http://schemas.openxmlformats.org/drawingml/2006/main" xmlns="http://schemas.openxmlformats.org/drawingml/2006/chart">
  <chart>
    <title>
      <tx>
        <rich>
          <a:bodyPr/>
          <a:p>
            <a:pPr>
              <a:defRPr/>
            </a:pPr>
            <a:r>
              <a:t>Operations hours required vs available</a:t>
            </a:r>
          </a:p>
        </rich>
      </tx>
    </title>
    <plotArea>
      <lineChart>
        <grouping val="standard"/>
        <ser>
          <idx val="0"/>
          <order val="0"/>
          <tx>
            <strRef>
              <f>'Case2_Capacity'!I5</f>
            </strRef>
          </tx>
          <spPr>
            <a:ln w="22000">
              <a:prstDash val="solid"/>
            </a:ln>
          </spPr>
          <marker>
            <symbol val="none"/>
            <spPr>
              <a:ln>
                <a:prstDash val="solid"/>
              </a:ln>
            </spPr>
          </marker>
          <cat>
            <numRef>
              <f>'Case2_Capacity'!$B$6:$B$78</f>
            </numRef>
          </cat>
          <val>
            <numRef>
              <f>'Case2_Capacity'!$I$6:$I$78</f>
            </numRef>
          </val>
          <smooth val="0"/>
        </ser>
        <ser>
          <idx val="1"/>
          <order val="1"/>
          <tx>
            <strRef>
              <f>'Case2_Capacity'!J5</f>
            </strRef>
          </tx>
          <spPr>
            <a:ln w="22000">
              <a:prstDash val="solid"/>
            </a:ln>
          </spPr>
          <marker>
            <symbol val="none"/>
            <spPr>
              <a:ln>
                <a:prstDash val="solid"/>
              </a:ln>
            </spPr>
          </marker>
          <cat>
            <numRef>
              <f>'Case2_Capacity'!$B$6:$B$78</f>
            </numRef>
          </cat>
          <val>
            <numRef>
              <f>'Case2_Capacity'!$J$6:$J$78</f>
            </numRef>
          </val>
          <smooth val="0"/>
        </ser>
        <axId val="10"/>
        <axId val="100"/>
      </lineChart>
      <catAx>
        <axId val="10"/>
        <scaling>
          <orientation val="minMax"/>
        </scaling>
        <axPos val="l"/>
        <title>
          <tx>
            <rich>
              <a:bodyPr/>
              <a:p>
                <a:pPr>
                  <a:defRPr/>
                </a:pPr>
                <a:r>
                  <a:t>Month</a:t>
                </a:r>
              </a:p>
            </rich>
          </tx>
        </title>
        <majorTickMark val="none"/>
        <minorTickMark val="none"/>
        <crossAx val="100"/>
        <lblOffset val="100"/>
      </catAx>
      <valAx>
        <axId val="100"/>
        <scaling>
          <orientation val="minMax"/>
        </scaling>
        <axPos val="l"/>
        <majorGridlines/>
        <title>
          <tx>
            <rich>
              <a:bodyPr/>
              <a:p>
                <a:pPr>
                  <a:defRPr/>
                </a:pPr>
                <a:r>
                  <a:t>Hours per year</a:t>
                </a:r>
              </a:p>
            </rich>
          </tx>
        </title>
        <majorTickMark val="none"/>
        <minorTickMark val="none"/>
        <crossAx val="10"/>
      </valAx>
    </plotArea>
    <legend>
      <legendPos val="r"/>
    </legend>
    <plotVisOnly val="1"/>
    <dispBlanksAs val="gap"/>
  </chart>
</chartSpace>
</file>

<file path=xl/charts/chart2.xml><?xml version="1.0" encoding="utf-8"?>
<chartSpace xmlns:a="http://schemas.openxmlformats.org/drawingml/2006/main" xmlns="http://schemas.openxmlformats.org/drawingml/2006/chart">
  <chart>
    <title>
      <tx>
        <rich>
          <a:bodyPr/>
          <a:p>
            <a:pPr>
              <a:defRPr/>
            </a:pPr>
            <a:r>
              <a:t>Revenue against fully loaded cost to serve, by tier</a:t>
            </a:r>
          </a:p>
        </rich>
      </tx>
    </title>
    <plotArea>
      <barChart>
        <barDir val="col"/>
        <grouping val="clustered"/>
        <ser>
          <idx val="0"/>
          <order val="0"/>
          <tx>
            <strRef>
              <f>'Dashboard'!B34</f>
            </strRef>
          </tx>
          <spPr>
            <a:ln>
              <a:prstDash val="solid"/>
            </a:ln>
          </spPr>
          <cat>
            <numRef>
              <f>'Dashboard'!$A$35:$A$38</f>
            </numRef>
          </cat>
          <val>
            <numRef>
              <f>'Dashboard'!$B$35:$B$38</f>
            </numRef>
          </val>
        </ser>
        <ser>
          <idx val="1"/>
          <order val="1"/>
          <tx>
            <strRef>
              <f>'Dashboard'!C34</f>
            </strRef>
          </tx>
          <spPr>
            <a:ln>
              <a:prstDash val="solid"/>
            </a:ln>
          </spPr>
          <cat>
            <numRef>
              <f>'Dashboard'!$A$35:$A$38</f>
            </numRef>
          </cat>
          <val>
            <numRef>
              <f>'Dashboard'!$C$35:$C$38</f>
            </numRef>
          </val>
        </ser>
        <gapWidth val="60"/>
        <axId val="10"/>
        <axId val="100"/>
      </barChart>
      <catAx>
        <axId val="10"/>
        <scaling>
          <orientation val="minMax"/>
        </scaling>
        <axPos val="l"/>
        <title>
          <tx>
            <rich>
              <a:bodyPr/>
              <a:p>
                <a:pPr>
                  <a:defRPr/>
                </a:pPr>
                <a:r>
                  <a:t>Tier</a:t>
                </a:r>
              </a:p>
            </rich>
          </tx>
        </title>
        <majorTickMark val="none"/>
        <minorTickMark val="none"/>
        <crossAx val="100"/>
        <lblOffset val="100"/>
      </catAx>
      <valAx>
        <axId val="100"/>
        <scaling>
          <orientation val="minMax"/>
        </scaling>
        <axPos val="l"/>
        <majorGridlines/>
        <title>
          <tx>
            <rich>
              <a:bodyPr/>
              <a:p>
                <a:pPr>
                  <a:defRPr/>
                </a:pPr>
                <a:r>
                  <a:t>Dollars per household per year</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10</row>
      <rowOff>0</rowOff>
    </from>
    <ext cx="7560000" cy="3420000"/>
    <graphicFrame>
      <nvGraphicFramePr>
        <cNvPr id="1" name="Chart 1"/>
        <cNvGraphicFramePr/>
      </nvGraphicFramePr>
      <xfrm/>
      <a:graphic>
        <a:graphicData uri="http://schemas.openxmlformats.org/drawingml/2006/chart">
          <c:chart r:id="rId1"/>
        </a:graphicData>
      </a:graphic>
    </graphicFrame>
    <clientData/>
  </oneCellAnchor>
  <oneCellAnchor>
    <from>
      <col>4</col>
      <colOff>0</colOff>
      <row>31</row>
      <rowOff>0</rowOff>
    </from>
    <ext cx="7560000" cy="3420000"/>
    <graphicFrame>
      <nvGraphicFramePr>
        <cNvPr id="2" name="Chart 2"/>
        <cNvGraphicFramePr/>
      </nvGraphicFramePr>
      <xfrm/>
      <a:graphic>
        <a:graphicData uri="http://schemas.openxmlformats.org/drawingml/2006/chart">
          <c:chart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3.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B2:C53"/>
  <sheetViews>
    <sheetView showGridLines="0" workbookViewId="0">
      <selection activeCell="A1" sqref="A1"/>
    </sheetView>
  </sheetViews>
  <sheetFormatPr baseColWidth="8" defaultRowHeight="15"/>
  <cols>
    <col width="3" customWidth="1" min="1" max="1"/>
    <col width="30" customWidth="1" min="2" max="2"/>
    <col width="96" customWidth="1" min="3" max="3"/>
  </cols>
  <sheetData>
    <row r="2">
      <c r="B2" s="1" t="inlineStr">
        <is>
          <t>Operations capacity &amp; economics model</t>
        </is>
      </c>
    </row>
    <row r="3">
      <c r="B3" s="2" t="inlineStr">
        <is>
          <t>Working model · as of 2026-09-05 · schema 1.0.0</t>
        </is>
      </c>
    </row>
    <row r="5">
      <c r="B5" s="3" t="inlineStr">
        <is>
          <t>What this is</t>
        </is>
      </c>
    </row>
    <row r="6" ht="26" customHeight="1">
      <c r="B6" s="4" t="inlineStr"/>
      <c r="C6" s="4" t="inlineStr">
        <is>
          <t>A model of how much operations work the firm carries, who carries it, what it costs, and when it runs out of room.</t>
        </is>
      </c>
    </row>
    <row r="7" ht="26" customHeight="1">
      <c r="B7" s="4" t="inlineStr"/>
      <c r="C7" s="4" t="inlineStr">
        <is>
          <t>Built by the paraplanner (role R4) as a working tool, not a firm document. It is the same engine as the interactive page — both are generated from one inputs file, so they cannot disagree.</t>
        </is>
      </c>
    </row>
    <row r="8" ht="26" customHeight="1">
      <c r="B8" s="5" t="inlineStr">
        <is>
          <t>Who to correct it</t>
        </is>
      </c>
      <c r="C8" s="4" t="inlineStr">
        <is>
          <t>Everything in here is meant to be argued with. Change any blue or yellow cell and the whole workbook recalculates.</t>
        </is>
      </c>
    </row>
    <row r="10">
      <c r="B10" s="3" t="inlineStr">
        <is>
          <t>The colour key</t>
        </is>
      </c>
    </row>
    <row r="11" ht="14" customHeight="1">
      <c r="B11" s="5" t="inlineStr">
        <is>
          <t>Blue text on cream</t>
        </is>
      </c>
      <c r="C11" s="4" t="inlineStr">
        <is>
          <t>A typed input. This is a number somebody chose. Change these.</t>
        </is>
      </c>
    </row>
    <row r="12" ht="14" customHeight="1">
      <c r="B12" s="5" t="inlineStr">
        <is>
          <t>Blue text on yellow</t>
        </is>
      </c>
      <c r="C12" s="4" t="inlineStr">
        <is>
          <t>A key assumption or a placeholder that still needs a real value. Change these first.</t>
        </is>
      </c>
    </row>
    <row r="13" ht="14" customHeight="1">
      <c r="B13" s="5" t="inlineStr">
        <is>
          <t>Green text</t>
        </is>
      </c>
      <c r="C13" s="4" t="inlineStr">
        <is>
          <t>A link to a value on another sheet. Do not overwrite.</t>
        </is>
      </c>
    </row>
    <row r="14" ht="14" customHeight="1">
      <c r="B14" s="5" t="inlineStr">
        <is>
          <t>Black text, white</t>
        </is>
      </c>
      <c r="C14" s="4" t="inlineStr">
        <is>
          <t>A formula. Do not overwrite — it will stop recalculating.</t>
        </is>
      </c>
    </row>
    <row r="15" ht="14" customHeight="1">
      <c r="B15" s="5" t="inlineStr">
        <is>
          <t>Red text</t>
        </is>
      </c>
      <c r="C15" s="4" t="inlineStr">
        <is>
          <t>A figure that is currently built on a placeholder, or a result that needs attention.</t>
        </is>
      </c>
    </row>
    <row r="17">
      <c r="B17" s="3" t="inlineStr">
        <is>
          <t>What is measured and what is not</t>
        </is>
      </c>
    </row>
    <row r="18" ht="39" customHeight="1">
      <c r="B18" s="4" t="inlineStr"/>
      <c r="C18" s="4" t="inlineStr">
        <is>
          <t>Every input carries a provenance tag. Of 0 inputs, most are still PLACEHOLDER — numbers invented so the model would run end to end. See the Assumptions tab; the tag column is the whole point of this workbook.</t>
        </is>
      </c>
    </row>
    <row r="19" ht="14" customHeight="1">
      <c r="B19" s="5" t="inlineStr">
        <is>
          <t>MEASURED</t>
        </is>
      </c>
      <c r="C19" s="4" t="inlineStr">
        <is>
          <t>I timed it or counted it myself. Strongest evidence in the model.</t>
        </is>
      </c>
    </row>
    <row r="20" ht="14" customHeight="1">
      <c r="B20" s="5" t="inlineStr">
        <is>
          <t>OBSERVED</t>
        </is>
      </c>
      <c r="C20" s="4" t="inlineStr">
        <is>
          <t>I can see it in a firm system, or I was told it directly.</t>
        </is>
      </c>
    </row>
    <row r="21" ht="14" customHeight="1">
      <c r="B21" s="5" t="inlineStr">
        <is>
          <t>BENCHMARK</t>
        </is>
      </c>
      <c r="C21" s="4" t="inlineStr">
        <is>
          <t>Published industry source, cited with source and year.</t>
        </is>
      </c>
    </row>
    <row r="22" ht="14" customHeight="1">
      <c r="B22" s="5" t="inlineStr">
        <is>
          <t>ESTIMATED</t>
        </is>
      </c>
      <c r="C22" s="4" t="inlineStr">
        <is>
          <t>My own judgement, stated as a range.</t>
        </is>
      </c>
    </row>
    <row r="23" ht="26" customHeight="1">
      <c r="B23" s="5" t="inlineStr">
        <is>
          <t>PLACEHOLDER</t>
        </is>
      </c>
      <c r="C23" s="4" t="inlineStr">
        <is>
          <t>Not yet filled in. The model runs, but this number is fake. Treat any figure resting on one as a structure, not a finding.</t>
        </is>
      </c>
    </row>
    <row r="25">
      <c r="B25" s="3" t="inlineStr">
        <is>
          <t>How to change the fee schedule</t>
        </is>
      </c>
    </row>
    <row r="26" ht="26" customHeight="1">
      <c r="B26" s="5" t="inlineStr">
        <is>
          <t>1</t>
        </is>
      </c>
      <c r="C26" s="4" t="inlineStr">
        <is>
          <t>Go to the FeeSchedule tab. Each row is one band: the amount it starts at, the amount it ends at, and the rate charged on the portion of assets inside it.</t>
        </is>
      </c>
    </row>
    <row r="27" ht="26" customHeight="1">
      <c r="B27" s="5" t="inlineStr">
        <is>
          <t>2</t>
        </is>
      </c>
      <c r="C27" s="4" t="inlineStr">
        <is>
          <t>Edit From / To / Rate, or add a row. If you add one, extend the named range Fee_From, Fee_To, Fee_Rate and Fee_Delta to include it.</t>
        </is>
      </c>
    </row>
    <row r="28" ht="26" customHeight="1">
      <c r="B28" s="5" t="inlineStr">
        <is>
          <t>3</t>
        </is>
      </c>
      <c r="C28" s="4" t="inlineStr">
        <is>
          <t>The schedule is TIERED (marginal): each band charges its own rate on its own slice, not one rate on the whole balance.</t>
        </is>
      </c>
    </row>
    <row r="29" ht="26" customHeight="1">
      <c r="B29" s="5" t="inlineStr">
        <is>
          <t>4</t>
        </is>
      </c>
      <c r="C29" s="4" t="inlineStr">
        <is>
          <t>The tab carries three hand-worked test households. If those three stop matching the hand column, the schedule has been broken — most likely by turning it into a flat rate by accident.</t>
        </is>
      </c>
    </row>
    <row r="31">
      <c r="B31" s="3" t="inlineStr">
        <is>
          <t>How to switch scenario</t>
        </is>
      </c>
    </row>
    <row r="32" ht="26" customHeight="1">
      <c r="B32" s="5" t="inlineStr">
        <is>
          <t>Assumptions!C5</t>
        </is>
      </c>
      <c r="C32" s="4" t="inlineStr">
        <is>
          <t>One cell drives everything. 1 = Today · 2 = She's gone, nothing changes · 3 = She's gone, I own operations.</t>
        </is>
      </c>
    </row>
    <row r="33" ht="14" customHeight="1">
      <c r="B33" s="4" t="inlineStr"/>
      <c r="C33" s="4" t="inlineStr">
        <is>
          <t>Every case tab reads that cell. Nothing else needs changing to move between the three.</t>
        </is>
      </c>
    </row>
    <row r="35">
      <c r="B35" s="3" t="inlineStr">
        <is>
          <t>Rules this model runs under</t>
        </is>
      </c>
    </row>
    <row r="36" ht="26" customHeight="1">
      <c r="B36" s="5" t="inlineStr">
        <is>
          <t>No client data</t>
        </is>
      </c>
      <c r="C36" s="4" t="inlineStr">
        <is>
          <t>Counts, tiers, ranges and averages only. No names, no account numbers, no balances, no statements. The smallest unit anywhere in it is a tier.</t>
        </is>
      </c>
    </row>
    <row r="37" ht="26" customHeight="1">
      <c r="B37" s="5" t="inlineStr">
        <is>
          <t>Not a compliance opinion</t>
        </is>
      </c>
      <c r="C37" s="4" t="inlineStr">
        <is>
          <t>Compliance ownership stays with the firm's designated person. Where this counts minutes on a compliance task it is counting minutes, not judging adequacy.</t>
        </is>
      </c>
    </row>
    <row r="38" ht="26" customHeight="1">
      <c r="B38" s="5" t="inlineStr">
        <is>
          <t>No credentials</t>
        </is>
      </c>
      <c r="C38" s="4" t="inlineStr">
        <is>
          <t>No password, login or vendor credential appears anywhere in this workbook, and none should ever be added.</t>
        </is>
      </c>
    </row>
    <row r="39" ht="26" customHeight="1">
      <c r="B39" s="5" t="inlineStr">
        <is>
          <t>Labels</t>
        </is>
      </c>
      <c r="C39" s="4" t="inlineStr">
        <is>
          <t>Role labels come from the Labels tab. Fill in the 'Real' column there for internal use; the published version of this model uses the anonymous column only.</t>
        </is>
      </c>
    </row>
    <row r="41">
      <c r="B41" s="3" t="inlineStr">
        <is>
          <t>Tab order</t>
        </is>
      </c>
    </row>
    <row r="42">
      <c r="B42" s="5" t="inlineStr">
        <is>
          <t>Assumptions</t>
        </is>
      </c>
      <c r="C42" s="4" t="inlineStr">
        <is>
          <t>The ledger. Every input, its value, its tag, where it came from, who could confirm it, when it was last checked.</t>
        </is>
      </c>
    </row>
    <row r="43">
      <c r="B43" s="5" t="inlineStr">
        <is>
          <t>Labels</t>
        </is>
      </c>
      <c r="C43" s="4" t="inlineStr">
        <is>
          <t>Role labels. The single place names live.</t>
        </is>
      </c>
    </row>
    <row r="44">
      <c r="B44" s="5" t="inlineStr">
        <is>
          <t>Roster</t>
        </is>
      </c>
      <c r="C44" s="4" t="inlineStr">
        <is>
          <t>Input: who is here, at what FTE, on what compensation, and how much of their time is operations.</t>
        </is>
      </c>
    </row>
    <row r="45">
      <c r="B45" s="5" t="inlineStr">
        <is>
          <t>Book</t>
        </is>
      </c>
      <c r="C45" s="4" t="inlineStr">
        <is>
          <t>Input: households and average AUM by tier. Never per household.</t>
        </is>
      </c>
    </row>
    <row r="46">
      <c r="B46" s="5" t="inlineStr">
        <is>
          <t>FeeSchedule</t>
        </is>
      </c>
      <c r="C46" s="4" t="inlineStr">
        <is>
          <t>Input: the tiered fee bands, plus three hand-worked test households.</t>
        </is>
      </c>
    </row>
    <row r="47">
      <c r="B47" s="5" t="inlineStr">
        <is>
          <t>Tasks</t>
        </is>
      </c>
      <c r="C47" s="4" t="inlineStr">
        <is>
          <t>Input: the operations task catalogue. Minutes and occurrences. This is the heart of the model.</t>
        </is>
      </c>
    </row>
    <row r="48">
      <c r="B48" s="5" t="inlineStr">
        <is>
          <t>Engine</t>
        </is>
      </c>
      <c r="C48" s="4" t="inlineStr">
        <is>
          <t>All calculations. No typed numbers anywhere on this sheet.</t>
        </is>
      </c>
    </row>
    <row r="49">
      <c r="B49" s="5" t="inlineStr">
        <is>
          <t>Case1_Departure</t>
        </is>
      </c>
      <c r="C49" s="4" t="inlineStr">
        <is>
          <t>What happens when the consultant leaves.</t>
        </is>
      </c>
    </row>
    <row r="50">
      <c r="B50" s="5" t="inlineStr">
        <is>
          <t>Case2_Capacity</t>
        </is>
      </c>
      <c r="C50" s="4" t="inlineStr">
        <is>
          <t>Where capacity breaks — month by month, and the crossing.</t>
        </is>
      </c>
    </row>
    <row r="51">
      <c r="B51" s="5" t="inlineStr">
        <is>
          <t>Case3_CostToServe</t>
        </is>
      </c>
      <c r="C51" s="4" t="inlineStr">
        <is>
          <t>What each tier costs to serve, in layers.</t>
        </is>
      </c>
    </row>
    <row r="52">
      <c r="B52" s="5" t="inlineStr">
        <is>
          <t>Case4_Seat</t>
        </is>
      </c>
      <c r="C52" s="4" t="inlineStr">
        <is>
          <t>The operations seat: cost, what it protects, what it displaces.</t>
        </is>
      </c>
    </row>
    <row r="53">
      <c r="B53" s="5" t="inlineStr">
        <is>
          <t>Dashboard</t>
        </is>
      </c>
      <c r="C53" s="4" t="inlineStr">
        <is>
          <t>The summary, with charts.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2"/>
  <sheetViews>
    <sheetView showGridLines="0" workbookViewId="0">
      <pane ySplit="1" topLeftCell="A2" activePane="bottomLeft" state="frozen"/>
      <selection pane="bottomLeft" activeCell="A1" sqref="A1"/>
    </sheetView>
  </sheetViews>
  <sheetFormatPr baseColWidth="8" defaultRowHeight="15"/>
  <cols>
    <col width="14" customWidth="1" min="1" max="1"/>
    <col width="34" customWidth="1" min="2" max="2"/>
    <col width="46" customWidth="1" min="3" max="3"/>
  </cols>
  <sheetData>
    <row r="1">
      <c r="A1" s="6" t="inlineStr">
        <is>
          <t>Key</t>
        </is>
      </c>
      <c r="B1" s="6" t="inlineStr">
        <is>
          <t>Anonymous label</t>
        </is>
      </c>
      <c r="C1" s="6" t="inlineStr">
        <is>
          <t>Real label (fill in for internal use only)</t>
        </is>
      </c>
    </row>
    <row r="2">
      <c r="A2" s="7" t="inlineStr">
        <is>
          <t>firm</t>
        </is>
      </c>
      <c r="B2" s="8" t="inlineStr">
        <is>
          <t>The firm</t>
        </is>
      </c>
      <c r="C2" s="9" t="inlineStr">
        <is>
          <t>The firm</t>
        </is>
      </c>
    </row>
    <row r="3">
      <c r="A3" s="7" t="inlineStr">
        <is>
          <t>custodian</t>
        </is>
      </c>
      <c r="B3" s="8" t="inlineStr">
        <is>
          <t>The custodian</t>
        </is>
      </c>
      <c r="C3" s="9" t="inlineStr">
        <is>
          <t>The custodian</t>
        </is>
      </c>
    </row>
    <row r="4">
      <c r="A4" s="7" t="inlineStr">
        <is>
          <t>R1</t>
        </is>
      </c>
      <c r="B4" s="8" t="inlineStr">
        <is>
          <t>Advisor 1 (principal)</t>
        </is>
      </c>
      <c r="C4" s="9" t="inlineStr">
        <is>
          <t>Advisor 1 (principal)</t>
        </is>
      </c>
    </row>
    <row r="5">
      <c r="A5" s="7" t="inlineStr">
        <is>
          <t>R2</t>
        </is>
      </c>
      <c r="B5" s="8" t="inlineStr">
        <is>
          <t>Advisor 2</t>
        </is>
      </c>
      <c r="C5" s="9" t="inlineStr">
        <is>
          <t>Advisor 2</t>
        </is>
      </c>
    </row>
    <row r="6">
      <c r="A6" s="7" t="inlineStr">
        <is>
          <t>R3</t>
        </is>
      </c>
      <c r="B6" s="8" t="inlineStr">
        <is>
          <t>Advisor 3</t>
        </is>
      </c>
      <c r="C6" s="9" t="inlineStr">
        <is>
          <t>Advisor 3</t>
        </is>
      </c>
    </row>
    <row r="7">
      <c r="A7" s="7" t="inlineStr">
        <is>
          <t>R4</t>
        </is>
      </c>
      <c r="B7" s="8" t="inlineStr">
        <is>
          <t>Paraplanner (me)</t>
        </is>
      </c>
      <c r="C7" s="9" t="inlineStr">
        <is>
          <t>Paraplanner (me)</t>
        </is>
      </c>
    </row>
    <row r="8">
      <c r="A8" s="7" t="inlineStr">
        <is>
          <t>R5</t>
        </is>
      </c>
      <c r="B8" s="8" t="inlineStr">
        <is>
          <t>Client service associate</t>
        </is>
      </c>
      <c r="C8" s="9" t="inlineStr">
        <is>
          <t>Client service associate</t>
        </is>
      </c>
    </row>
    <row r="9">
      <c r="A9" s="7" t="inlineStr">
        <is>
          <t>R6</t>
        </is>
      </c>
      <c r="B9" s="8" t="inlineStr">
        <is>
          <t>Office manager</t>
        </is>
      </c>
      <c r="C9" s="9" t="inlineStr">
        <is>
          <t>Office manager</t>
        </is>
      </c>
    </row>
    <row r="10">
      <c r="A10" s="7" t="inlineStr">
        <is>
          <t>R7</t>
        </is>
      </c>
      <c r="B10" s="8" t="inlineStr">
        <is>
          <t>Operations consultant</t>
        </is>
      </c>
      <c r="C10" s="9" t="inlineStr">
        <is>
          <t>Operations consultant</t>
        </is>
      </c>
    </row>
    <row r="12">
      <c r="A12" s="10" t="inlineStr">
        <is>
          <t>ANONYMISE</t>
        </is>
      </c>
      <c r="B12" s="11" t="n">
        <v>1</v>
      </c>
      <c r="C12" s="12" t="inlineStr">
        <is>
          <t>1 = use the anonymous column everywhere · 0 = use the real column. Ships as 1.</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00"/>
  <sheetViews>
    <sheetView showGridLines="0" workbookViewId="0">
      <pane ySplit="15" topLeftCell="A16" activePane="bottomLeft" state="frozen"/>
      <selection pane="bottomLeft" activeCell="A1" sqref="A1"/>
    </sheetView>
  </sheetViews>
  <sheetFormatPr baseColWidth="8" defaultRowHeight="15"/>
  <cols>
    <col width="9" customWidth="1" min="1" max="1"/>
    <col width="42" customWidth="1" min="2" max="2"/>
    <col width="17" customWidth="1" min="3" max="3"/>
    <col width="12" customWidth="1" min="4" max="4"/>
    <col width="14" customWidth="1" min="5" max="5"/>
    <col width="60" customWidth="1" min="6" max="6"/>
    <col width="40" customWidth="1" min="7" max="7"/>
    <col width="13" customWidth="1" min="8" max="8"/>
  </cols>
  <sheetData>
    <row r="1">
      <c r="A1" s="1" t="inlineStr">
        <is>
          <t>ASSUMPTION LEDGER</t>
        </is>
      </c>
    </row>
    <row r="2">
      <c r="A2" s="2" t="inlineStr">
        <is>
          <t>Every input in the model. If a number anywhere else is wrong, it is wrong here first.</t>
        </is>
      </c>
    </row>
    <row r="4">
      <c r="A4" s="3" t="inlineStr">
        <is>
          <t>SCENARIO SWITCH — this one cell drives every case tab</t>
        </is>
      </c>
    </row>
    <row r="5">
      <c r="B5" s="10" t="inlineStr">
        <is>
          <t>Scenario</t>
        </is>
      </c>
      <c r="C5" s="11" t="n">
        <v>1</v>
      </c>
      <c r="F5" s="13" t="inlineStr">
        <is>
          <t>1 = Today  ·  2 = She's gone, nothing changes  ·  3 = She's gone, I own operations</t>
        </is>
      </c>
    </row>
    <row r="6">
      <c r="B6" s="10" t="inlineStr">
        <is>
          <t>Scenario name</t>
        </is>
      </c>
      <c r="C6" s="14">
        <f>IF(Scenario=1,"Today",IF(Scenario=2,"She's gone, nothing changes","She's gone, I own operations"))</f>
        <v/>
      </c>
      <c r="F6" s="13" t="inlineStr">
        <is>
          <t>Reads the switch above.</t>
        </is>
      </c>
    </row>
    <row r="7">
      <c r="B7" s="10" t="inlineStr">
        <is>
          <t>Consultant on the roster</t>
        </is>
      </c>
      <c r="C7" s="15">
        <f>IF(Scenario=1,1,0)</f>
        <v/>
      </c>
      <c r="F7" s="13" t="inlineStr">
        <is>
          <t>1 = still here. Drives the Roster active flag.</t>
        </is>
      </c>
    </row>
    <row r="8">
      <c r="B8" s="10" t="inlineStr">
        <is>
          <t>I take the operations seat</t>
        </is>
      </c>
      <c r="C8" s="15">
        <f>IF(Scenario=3,1,0)</f>
        <v/>
      </c>
      <c r="F8" s="13" t="inlineStr">
        <is>
          <t>1 = my row moves to the operations allocation and compensation below.</t>
        </is>
      </c>
    </row>
    <row r="9">
      <c r="B9" s="10" t="inlineStr">
        <is>
          <t>Minutes per task (efficiency)</t>
        </is>
      </c>
      <c r="C9" s="16" t="n">
        <v>1</v>
      </c>
      <c r="F9" s="13" t="inlineStr">
        <is>
          <t>Global multiplier on every task timing. 90% is a 10% process improvement.</t>
        </is>
      </c>
    </row>
    <row r="10">
      <c r="B10" s="10" t="inlineStr">
        <is>
          <t>Extra operations FTE</t>
        </is>
      </c>
      <c r="C10" s="17" t="n">
        <v>0</v>
      </c>
      <c r="F10" s="13" t="inlineStr">
        <is>
          <t>Additive only in the workbook. Use it to test a hire.</t>
        </is>
      </c>
    </row>
    <row r="11">
      <c r="B11" s="10" t="inlineStr">
        <is>
          <t>My operations share if I take the seat</t>
        </is>
      </c>
      <c r="C11" s="16" t="n">
        <v>0.85</v>
      </c>
      <c r="F11" s="13" t="inlineStr">
        <is>
          <t>Case 4. The rest of my week stays paraplanning.</t>
        </is>
      </c>
    </row>
    <row r="12">
      <c r="B12" s="10" t="inlineStr">
        <is>
          <t>As of</t>
        </is>
      </c>
      <c r="C12" s="18" t="n">
        <v>46270</v>
      </c>
      <c r="F12" s="13" t="inlineStr">
        <is>
          <t>Every projected date counts forward from here.</t>
        </is>
      </c>
    </row>
    <row r="13">
      <c r="B13" s="10" t="inlineStr">
        <is>
          <t>Projection horizon (months)</t>
        </is>
      </c>
      <c r="C13" s="11" t="n">
        <v>72</v>
      </c>
      <c r="F13" s="13" t="inlineStr">
        <is>
          <t>Length of the capacity projection on Case2.</t>
        </is>
      </c>
    </row>
    <row r="15">
      <c r="A15" s="6" t="inlineStr">
        <is>
          <t>Ref</t>
        </is>
      </c>
      <c r="B15" s="6" t="inlineStr">
        <is>
          <t>Input</t>
        </is>
      </c>
      <c r="C15" s="6" t="inlineStr">
        <is>
          <t>Value</t>
        </is>
      </c>
      <c r="D15" s="6" t="inlineStr">
        <is>
          <t>Unit</t>
        </is>
      </c>
      <c r="E15" s="6" t="inlineStr">
        <is>
          <t>Tag</t>
        </is>
      </c>
      <c r="F15" s="6" t="inlineStr">
        <is>
          <t>Where it came from</t>
        </is>
      </c>
      <c r="G15" s="6" t="inlineStr">
        <is>
          <t>Who could confirm it</t>
        </is>
      </c>
      <c r="H15" s="6" t="inlineStr">
        <is>
          <t>Last checked</t>
        </is>
      </c>
    </row>
    <row r="16">
      <c r="A16" s="12" t="inlineStr">
        <is>
          <t>C-1</t>
        </is>
      </c>
      <c r="B16" s="19" t="inlineStr">
        <is>
          <t>Benefits and payroll load</t>
        </is>
      </c>
      <c r="C16" s="20" t="n">
        <v>0.25</v>
      </c>
      <c r="D16" s="12" t="inlineStr">
        <is>
          <t>pct</t>
        </is>
      </c>
      <c r="E16" s="7" t="inlineStr">
        <is>
          <t>BENCHMARK</t>
        </is>
      </c>
      <c r="F16" s="13" t="inlineStr">
        <is>
          <t>US Bureau of Labor Statistics, Employer Costs for Employee Compensation. Benefits run about 29-31% of total compensation for private industry, i.e. roughly a 40-45% load on wages; finance and insurance sits near the top of that band. 25% is a deliberately conservative load covering payroll taxes, health and retirement only.</t>
        </is>
      </c>
      <c r="G16" s="13" t="inlineStr">
        <is>
          <t>The principal, or whoever handles payroll, can give the real loaded figure.</t>
        </is>
      </c>
      <c r="H16" s="12" t="inlineStr">
        <is>
          <t>2026-09-05</t>
        </is>
      </c>
    </row>
    <row r="17">
      <c r="A17" s="12" t="inlineStr">
        <is>
          <t>C-2</t>
        </is>
      </c>
      <c r="B17" s="19" t="inlineStr">
        <is>
          <t>Productive hours per person per year</t>
        </is>
      </c>
      <c r="C17" s="21" t="n">
        <v>1700</v>
      </c>
      <c r="D17" s="12" t="inlineStr">
        <is>
          <t>hours</t>
        </is>
      </c>
      <c r="E17" s="7" t="inlineStr">
        <is>
          <t>ESTIMATED</t>
        </is>
      </c>
      <c r="F17" s="13" t="inlineStr">
        <is>
          <t>2,080 scheduled hours less PTO, holidays, sick time, training and internal admin. Range I would defend: 1,600-1,800.</t>
        </is>
      </c>
      <c r="G17" s="13" t="inlineStr">
        <is>
          <t>The principal can confirm the PTO and holiday policy; the rest is my judgement.</t>
        </is>
      </c>
      <c r="H17" s="12" t="inlineStr">
        <is>
          <t>2026-09-05</t>
        </is>
      </c>
    </row>
    <row r="18">
      <c r="A18" s="12" t="inlineStr">
        <is>
          <t>C-3</t>
        </is>
      </c>
      <c r="B18" s="19" t="inlineStr">
        <is>
          <t>Household growth rate per year</t>
        </is>
      </c>
      <c r="C18" s="20" t="n">
        <v>0.15</v>
      </c>
      <c r="D18" s="12" t="inlineStr">
        <is>
          <t>pct</t>
        </is>
      </c>
      <c r="E18" s="7" t="inlineStr">
        <is>
          <t>ESTIMATED</t>
        </is>
      </c>
      <c r="F18" s="13" t="inlineStr">
        <is>
          <t>My impression of the last few quarters of new-client activity. Not verified against a count.</t>
        </is>
      </c>
      <c r="G18" s="13" t="inlineStr">
        <is>
          <t>The principal, or a new-account count out of the CRM for the last three years.</t>
        </is>
      </c>
      <c r="H18" s="12" t="inlineStr">
        <is>
          <t>2026-09-05</t>
        </is>
      </c>
    </row>
    <row r="19">
      <c r="A19" s="12" t="inlineStr">
        <is>
          <t>C-4</t>
        </is>
      </c>
      <c r="B19" s="19" t="inlineStr">
        <is>
          <t>Switching and interruption uplift</t>
        </is>
      </c>
      <c r="C19" s="20" t="n">
        <v>0.25</v>
      </c>
      <c r="D19" s="12" t="inlineStr">
        <is>
          <t>pct</t>
        </is>
      </c>
      <c r="E19" s="7" t="inlineStr">
        <is>
          <t>ESTIMATED</t>
        </is>
      </c>
      <c r="F19" s="13" t="inlineStr">
        <is>
          <t>A timed task measures the task, not the day. Real operations days carry context-switching, interruptions, rework and queue time that no task timing captures. 25% is my judgement; range 15-40%. Set it to 0% to see catalogued task time alone.</t>
        </is>
      </c>
      <c r="G19" s="13" t="inlineStr">
        <is>
          <t>Nobody can confirm this directly. It is the assumption most worth arguing about.</t>
        </is>
      </c>
      <c r="H19" s="12" t="inlineStr">
        <is>
          <t>2026-09-05</t>
        </is>
      </c>
    </row>
    <row r="20">
      <c r="A20" s="12" t="inlineStr">
        <is>
          <t>C-5</t>
        </is>
      </c>
      <c r="B20" s="19" t="inlineStr">
        <is>
          <t>Non-payroll firm overhead per household per year</t>
        </is>
      </c>
      <c r="C20" s="22" t="n">
        <v>1800</v>
      </c>
      <c r="D20" s="12" t="inlineStr">
        <is>
          <t>usd</t>
        </is>
      </c>
      <c r="E20" s="23" t="inlineStr">
        <is>
          <t>PLACEHOLDER</t>
        </is>
      </c>
      <c r="F20" s="13" t="inlineStr">
        <is>
          <t>NOT FILLED IN. Should cover rent, technology stack, custodial platform fees, E&amp;O, compliance vendors, professional fees, marketing, divided by household count. I cannot see the expense lines.</t>
        </is>
      </c>
      <c r="G20" s="13" t="inlineStr">
        <is>
          <t>The principal. This is the single number that decides whether the bottom tier looks profitable or not - do not present tier economics without it.</t>
        </is>
      </c>
      <c r="H20" s="23" t="inlineStr">
        <is>
          <t>never</t>
        </is>
      </c>
    </row>
    <row r="21">
      <c r="A21" s="12" t="inlineStr">
        <is>
          <t>C-6</t>
        </is>
      </c>
      <c r="B21" s="19" t="inlineStr">
        <is>
          <t>Fee realisation against schedule</t>
        </is>
      </c>
      <c r="C21" s="16" t="n">
        <v>1</v>
      </c>
      <c r="D21" s="12" t="inlineStr">
        <is>
          <t>pct</t>
        </is>
      </c>
      <c r="E21" s="23" t="inlineStr">
        <is>
          <t>PLACEHOLDER</t>
        </is>
      </c>
      <c r="F21" s="13" t="inlineStr">
        <is>
          <t>NOT FILLED IN. Assumed every household pays the published schedule with no discount, no family aggregation and no flat-fee exception. That is almost certainly not true.</t>
        </is>
      </c>
      <c r="G21" s="13" t="inlineStr">
        <is>
          <t>The billing run from the last quarterly cycle: actual fees billed divided by fees the schedule implies.</t>
        </is>
      </c>
      <c r="H21" s="23" t="inlineStr">
        <is>
          <t>never</t>
        </is>
      </c>
    </row>
    <row r="22">
      <c r="A22" s="12" t="inlineStr">
        <is>
          <t>C-7</t>
        </is>
      </c>
      <c r="B22" s="19" t="inlineStr">
        <is>
          <t>Days until the operations consultant leaves</t>
        </is>
      </c>
      <c r="C22" s="21" t="n">
        <v>100</v>
      </c>
      <c r="D22" s="12" t="inlineStr">
        <is>
          <t>days</t>
        </is>
      </c>
      <c r="E22" s="7" t="inlineStr">
        <is>
          <t>OBSERVED</t>
        </is>
      </c>
      <c r="F22" s="13" t="inlineStr">
        <is>
          <t>Told to me directly.</t>
        </is>
      </c>
      <c r="G22" s="13" t="inlineStr">
        <is>
          <t>The principal.</t>
        </is>
      </c>
      <c r="H22" s="12" t="inlineStr">
        <is>
          <t>2026-09-05</t>
        </is>
      </c>
    </row>
    <row r="23">
      <c r="A23" s="12" t="inlineStr">
        <is>
          <t>C-8</t>
        </is>
      </c>
      <c r="B23" s="19" t="inlineStr">
        <is>
          <t>Compensation for an operations manager seat</t>
        </is>
      </c>
      <c r="C23" s="22" t="n">
        <v>92000</v>
      </c>
      <c r="D23" s="12" t="inlineStr">
        <is>
          <t>usd</t>
        </is>
      </c>
      <c r="E23" s="23" t="inlineStr">
        <is>
          <t>PLACEHOLDER</t>
        </is>
      </c>
      <c r="F23" s="13" t="inlineStr">
        <is>
          <t>NOT FILLED IN. My guess at the market rate for an operations manager at a firm this size.</t>
        </is>
      </c>
      <c r="G23" s="13" t="inlineStr">
        <is>
          <t>The principal. A compensation study (Schwab RIA Benchmarking, Investment News Adviser Compensation) would give a defensible band.</t>
        </is>
      </c>
      <c r="H23" s="23" t="inlineStr">
        <is>
          <t>never</t>
        </is>
      </c>
    </row>
    <row r="24">
      <c r="A24" s="12" t="inlineStr">
        <is>
          <t>C-9</t>
        </is>
      </c>
      <c r="B24" s="19" t="inlineStr">
        <is>
          <t>Annual cost to backfill the consultant like-for-like</t>
        </is>
      </c>
      <c r="C24" s="22" t="n">
        <v>78000</v>
      </c>
      <c r="D24" s="12" t="inlineStr">
        <is>
          <t>usd</t>
        </is>
      </c>
      <c r="E24" s="23" t="inlineStr">
        <is>
          <t>PLACEHOLDER</t>
        </is>
      </c>
      <c r="F24" s="13" t="inlineStr">
        <is>
          <t>NOT FILLED IN. Assumed a replacement consultant costs what the current one costs.</t>
        </is>
      </c>
      <c r="G24" s="13" t="inlineStr">
        <is>
          <t>The principal knows the current engagement cost. A replacement quote would be a real number.</t>
        </is>
      </c>
      <c r="H24" s="23" t="inlineStr">
        <is>
          <t>never</t>
        </is>
      </c>
    </row>
    <row r="25">
      <c r="A25" s="12" t="inlineStr">
        <is>
          <t>C-10</t>
        </is>
      </c>
      <c r="B25" s="19" t="inlineStr">
        <is>
          <t>Cost of one service failure</t>
        </is>
      </c>
      <c r="C25" s="22" t="n">
        <v>2500</v>
      </c>
      <c r="D25" s="12" t="inlineStr">
        <is>
          <t>usd</t>
        </is>
      </c>
      <c r="E25" s="23" t="inlineStr">
        <is>
          <t>PLACEHOLDER</t>
        </is>
      </c>
      <c r="F25" s="13" t="inlineStr">
        <is>
          <t>NOT FILLED IN. A missed RMD penalty, a late transfer, a billing error and a blown deadline all cost different amounts.</t>
        </is>
      </c>
      <c r="G25" s="13" t="inlineStr">
        <is>
          <t>The principal, or the compliance file of past incidents.</t>
        </is>
      </c>
      <c r="H25" s="23" t="inlineStr">
        <is>
          <t>never</t>
        </is>
      </c>
    </row>
    <row r="26">
      <c r="A26" s="12" t="inlineStr">
        <is>
          <t>C-11</t>
        </is>
      </c>
      <c r="B26" s="19" t="inlineStr">
        <is>
          <t>Service failures avoided per year by the seat</t>
        </is>
      </c>
      <c r="C26" s="11" t="n">
        <v>0</v>
      </c>
      <c r="D26" s="12" t="inlineStr">
        <is>
          <t>count</t>
        </is>
      </c>
      <c r="E26" s="23" t="inlineStr">
        <is>
          <t>PLACEHOLDER</t>
        </is>
      </c>
      <c r="F26" s="13" t="inlineStr">
        <is>
          <t>DELIBERATELY ZERO. I have no incident list, so I am counting nothing. Leaving this at zero makes the case for the seat weaker and honest. Raise it only against real incidents someone can name.</t>
        </is>
      </c>
      <c r="G26" s="13" t="inlineStr">
        <is>
          <t>The principal or the consultant can name actual incidents from the last two years.</t>
        </is>
      </c>
      <c r="H26" s="23" t="inlineStr">
        <is>
          <t>never</t>
        </is>
      </c>
    </row>
    <row r="27">
      <c r="A27" s="12" t="inlineStr">
        <is>
          <t>C-12</t>
        </is>
      </c>
      <c r="B27" s="19" t="inlineStr">
        <is>
          <t>Compensation for a junior seat to absorb displaced paraplanning work</t>
        </is>
      </c>
      <c r="C27" s="22" t="n">
        <v>55000</v>
      </c>
      <c r="D27" s="12" t="inlineStr">
        <is>
          <t>usd</t>
        </is>
      </c>
      <c r="E27" s="23" t="inlineStr">
        <is>
          <t>PLACEHOLDER</t>
        </is>
      </c>
      <c r="F27" s="13" t="inlineStr">
        <is>
          <t>NOT FILLED IN. My guess at a client service or associate paraplanner salary. Only relevant if the operations seat happens and the planning work I do now has to go somewhere.</t>
        </is>
      </c>
      <c r="G27" s="13" t="inlineStr">
        <is>
          <t>The principal.</t>
        </is>
      </c>
      <c r="H27" s="23" t="inlineStr">
        <is>
          <t>never</t>
        </is>
      </c>
    </row>
    <row r="28">
      <c r="A28" s="12" t="inlineStr">
        <is>
          <t>C-13</t>
        </is>
      </c>
      <c r="B28" s="19" t="inlineStr">
        <is>
          <t>How an advisor hour is valued</t>
        </is>
      </c>
      <c r="C28" s="8" t="inlineStr">
        <is>
          <t>loaded_cost</t>
        </is>
      </c>
      <c r="D28" s="12" t="inlineStr">
        <is>
          <t>choice</t>
        </is>
      </c>
      <c r="E28" s="7" t="inlineStr">
        <is>
          <t>ESTIMATED</t>
        </is>
      </c>
      <c r="F28" s="13" t="inlineStr">
        <is>
          <t>Two options: 'loaded_cost' values a returned advisor hour at what it costs the firm (conservative, hard to argue with) or 'revenue_capacity' values it at revenue per advisor hour (larger, and it invites the challenge that the hour would not actually have been sold). Defaulting to loaded cost on purpose.</t>
        </is>
      </c>
      <c r="G28" s="13" t="inlineStr">
        <is>
          <t>This is a framing choice, not a fact. Ask the principal which he finds credible.</t>
        </is>
      </c>
      <c r="H28" s="12" t="inlineStr">
        <is>
          <t>2026-09-05</t>
        </is>
      </c>
    </row>
    <row r="29">
      <c r="A29" s="12" t="inlineStr">
        <is>
          <t>R-1</t>
        </is>
      </c>
      <c r="B29" s="24">
        <f>Roster!B2&amp;" — annual compensation"</f>
        <v/>
      </c>
      <c r="C29" s="25">
        <f>Roster!G2</f>
        <v/>
      </c>
      <c r="D29" s="12" t="inlineStr">
        <is>
          <t>usd</t>
        </is>
      </c>
      <c r="E29" s="23" t="inlineStr">
        <is>
          <t>PLACEHOLDER</t>
        </is>
      </c>
      <c r="F29" s="13" t="inlineStr">
        <is>
          <t>NOT FILLED IN. Principal compensation is a guess and is probably wrong; owner comp is often taken as distribution rather than salary.</t>
        </is>
      </c>
      <c r="G29" s="13" t="inlineStr">
        <is>
          <t>The principal. Do not push on this one - use a range if he prefers.</t>
        </is>
      </c>
      <c r="H29" s="23" t="inlineStr">
        <is>
          <t>never</t>
        </is>
      </c>
    </row>
    <row r="30">
      <c r="A30" s="12" t="inlineStr">
        <is>
          <t>R-2</t>
        </is>
      </c>
      <c r="B30" s="24">
        <f>Roster!B2&amp;" — FTE"</f>
        <v/>
      </c>
      <c r="C30" s="26">
        <f>Roster!C2</f>
        <v/>
      </c>
      <c r="D30" s="12" t="inlineStr">
        <is>
          <t>fte</t>
        </is>
      </c>
      <c r="E30" s="7" t="inlineStr">
        <is>
          <t>OBSERVED</t>
        </is>
      </c>
      <c r="F30" s="13" t="inlineStr">
        <is>
          <t>Headcount I can see.</t>
        </is>
      </c>
      <c r="G30" s="13" t="inlineStr">
        <is>
          <t>The principal holds the contract or the offer letter.</t>
        </is>
      </c>
      <c r="H30" s="12" t="inlineStr">
        <is>
          <t>2026-09-05</t>
        </is>
      </c>
    </row>
    <row r="31">
      <c r="A31" s="12" t="inlineStr">
        <is>
          <t>R-3</t>
        </is>
      </c>
      <c r="B31" s="24">
        <f>Roster!B3&amp;" — annual compensation"</f>
        <v/>
      </c>
      <c r="C31" s="25">
        <f>Roster!G3</f>
        <v/>
      </c>
      <c r="D31" s="12" t="inlineStr">
        <is>
          <t>usd</t>
        </is>
      </c>
      <c r="E31" s="23" t="inlineStr">
        <is>
          <t>PLACEHOLDER</t>
        </is>
      </c>
      <c r="F31" s="13" t="inlineStr">
        <is>
          <t>NOT FILLED IN. My guess.</t>
        </is>
      </c>
      <c r="G31" s="13" t="inlineStr">
        <is>
          <t>The principal.</t>
        </is>
      </c>
      <c r="H31" s="23" t="inlineStr">
        <is>
          <t>never</t>
        </is>
      </c>
    </row>
    <row r="32">
      <c r="A32" s="12" t="inlineStr">
        <is>
          <t>R-4</t>
        </is>
      </c>
      <c r="B32" s="24">
        <f>Roster!B3&amp;" — FTE"</f>
        <v/>
      </c>
      <c r="C32" s="26">
        <f>Roster!C3</f>
        <v/>
      </c>
      <c r="D32" s="12" t="inlineStr">
        <is>
          <t>fte</t>
        </is>
      </c>
      <c r="E32" s="7" t="inlineStr">
        <is>
          <t>OBSERVED</t>
        </is>
      </c>
      <c r="F32" s="13" t="inlineStr">
        <is>
          <t>Headcount I can see.</t>
        </is>
      </c>
      <c r="G32" s="13" t="inlineStr">
        <is>
          <t>The principal holds the contract or the offer letter.</t>
        </is>
      </c>
      <c r="H32" s="12" t="inlineStr">
        <is>
          <t>2026-09-05</t>
        </is>
      </c>
    </row>
    <row r="33">
      <c r="A33" s="12" t="inlineStr">
        <is>
          <t>R-5</t>
        </is>
      </c>
      <c r="B33" s="24">
        <f>Roster!B4&amp;" — annual compensation"</f>
        <v/>
      </c>
      <c r="C33" s="25">
        <f>Roster!G4</f>
        <v/>
      </c>
      <c r="D33" s="12" t="inlineStr">
        <is>
          <t>usd</t>
        </is>
      </c>
      <c r="E33" s="23" t="inlineStr">
        <is>
          <t>PLACEHOLDER</t>
        </is>
      </c>
      <c r="F33" s="13" t="inlineStr">
        <is>
          <t>NOT FILLED IN. My guess.</t>
        </is>
      </c>
      <c r="G33" s="13" t="inlineStr">
        <is>
          <t>The principal.</t>
        </is>
      </c>
      <c r="H33" s="23" t="inlineStr">
        <is>
          <t>never</t>
        </is>
      </c>
    </row>
    <row r="34">
      <c r="A34" s="12" t="inlineStr">
        <is>
          <t>R-6</t>
        </is>
      </c>
      <c r="B34" s="24">
        <f>Roster!B4&amp;" — FTE"</f>
        <v/>
      </c>
      <c r="C34" s="26">
        <f>Roster!C4</f>
        <v/>
      </c>
      <c r="D34" s="12" t="inlineStr">
        <is>
          <t>fte</t>
        </is>
      </c>
      <c r="E34" s="7" t="inlineStr">
        <is>
          <t>OBSERVED</t>
        </is>
      </c>
      <c r="F34" s="13" t="inlineStr">
        <is>
          <t>Headcount I can see.</t>
        </is>
      </c>
      <c r="G34" s="13" t="inlineStr">
        <is>
          <t>The principal holds the contract or the offer letter.</t>
        </is>
      </c>
      <c r="H34" s="12" t="inlineStr">
        <is>
          <t>2026-09-05</t>
        </is>
      </c>
    </row>
    <row r="35">
      <c r="A35" s="12" t="inlineStr">
        <is>
          <t>R-7</t>
        </is>
      </c>
      <c r="B35" s="24">
        <f>Roster!B5&amp;" — annual compensation"</f>
        <v/>
      </c>
      <c r="C35" s="25">
        <f>Roster!G5</f>
        <v/>
      </c>
      <c r="D35" s="12" t="inlineStr">
        <is>
          <t>usd</t>
        </is>
      </c>
      <c r="E35" s="7" t="inlineStr">
        <is>
          <t>OBSERVED</t>
        </is>
      </c>
      <c r="F35" s="13" t="inlineStr">
        <is>
          <t>My own compensation. The 35% operations allocation is my estimate of my own week; the rest is plan work and research.</t>
        </is>
      </c>
      <c r="G35" s="13" t="inlineStr">
        <is>
          <t>Me. I can make the allocation MEASURED by keeping a two-week time log.</t>
        </is>
      </c>
      <c r="H35" s="12" t="inlineStr">
        <is>
          <t>2026-09-05</t>
        </is>
      </c>
    </row>
    <row r="36">
      <c r="A36" s="12" t="inlineStr">
        <is>
          <t>R-8</t>
        </is>
      </c>
      <c r="B36" s="24">
        <f>Roster!B5&amp;" — FTE"</f>
        <v/>
      </c>
      <c r="C36" s="26">
        <f>Roster!C5</f>
        <v/>
      </c>
      <c r="D36" s="12" t="inlineStr">
        <is>
          <t>fte</t>
        </is>
      </c>
      <c r="E36" s="7" t="inlineStr">
        <is>
          <t>OBSERVED</t>
        </is>
      </c>
      <c r="F36" s="13" t="inlineStr">
        <is>
          <t>Headcount I can see.</t>
        </is>
      </c>
      <c r="G36" s="13" t="inlineStr">
        <is>
          <t>The principal holds the contract or the offer letter.</t>
        </is>
      </c>
      <c r="H36" s="12" t="inlineStr">
        <is>
          <t>2026-09-05</t>
        </is>
      </c>
    </row>
    <row r="37">
      <c r="A37" s="12" t="inlineStr">
        <is>
          <t>R-9</t>
        </is>
      </c>
      <c r="B37" s="24">
        <f>Roster!B5&amp;" — share of time on operations"</f>
        <v/>
      </c>
      <c r="C37" s="27">
        <f>Roster!F5</f>
        <v/>
      </c>
      <c r="D37" s="12" t="inlineStr">
        <is>
          <t>pct</t>
        </is>
      </c>
      <c r="E37" s="7" t="inlineStr">
        <is>
          <t>ESTIMATED</t>
        </is>
      </c>
      <c r="F37" s="13" t="inlineStr">
        <is>
          <t>My estimate of how much of this person's week is operations work rather than planning, bookkeeping or reception.</t>
        </is>
      </c>
      <c r="G37" s="13" t="inlineStr">
        <is>
          <t>The person themselves, from a two-week time log. The cheapest input in the model to upgrade.</t>
        </is>
      </c>
      <c r="H37" s="12" t="inlineStr">
        <is>
          <t>2026-09-05</t>
        </is>
      </c>
    </row>
    <row r="38">
      <c r="A38" s="12" t="inlineStr">
        <is>
          <t>R-10</t>
        </is>
      </c>
      <c r="B38" s="24">
        <f>Roster!B6&amp;" — annual compensation"</f>
        <v/>
      </c>
      <c r="C38" s="25">
        <f>Roster!G6</f>
        <v/>
      </c>
      <c r="D38" s="12" t="inlineStr">
        <is>
          <t>usd</t>
        </is>
      </c>
      <c r="E38" s="23" t="inlineStr">
        <is>
          <t>PLACEHOLDER</t>
        </is>
      </c>
      <c r="F38" s="13" t="inlineStr">
        <is>
          <t>NOT FILLED IN. My guess at a client service associate salary.</t>
        </is>
      </c>
      <c r="G38" s="13" t="inlineStr">
        <is>
          <t>The principal.</t>
        </is>
      </c>
      <c r="H38" s="23" t="inlineStr">
        <is>
          <t>never</t>
        </is>
      </c>
    </row>
    <row r="39">
      <c r="A39" s="12" t="inlineStr">
        <is>
          <t>R-11</t>
        </is>
      </c>
      <c r="B39" s="24">
        <f>Roster!B6&amp;" — FTE"</f>
        <v/>
      </c>
      <c r="C39" s="26">
        <f>Roster!C6</f>
        <v/>
      </c>
      <c r="D39" s="12" t="inlineStr">
        <is>
          <t>fte</t>
        </is>
      </c>
      <c r="E39" s="7" t="inlineStr">
        <is>
          <t>OBSERVED</t>
        </is>
      </c>
      <c r="F39" s="13" t="inlineStr">
        <is>
          <t>Headcount I can see.</t>
        </is>
      </c>
      <c r="G39" s="13" t="inlineStr">
        <is>
          <t>The principal holds the contract or the offer letter.</t>
        </is>
      </c>
      <c r="H39" s="12" t="inlineStr">
        <is>
          <t>2026-09-05</t>
        </is>
      </c>
    </row>
    <row r="40">
      <c r="A40" s="12" t="inlineStr">
        <is>
          <t>R-12</t>
        </is>
      </c>
      <c r="B40" s="24">
        <f>Roster!B6&amp;" — share of time on operations"</f>
        <v/>
      </c>
      <c r="C40" s="27">
        <f>Roster!F6</f>
        <v/>
      </c>
      <c r="D40" s="12" t="inlineStr">
        <is>
          <t>pct</t>
        </is>
      </c>
      <c r="E40" s="7" t="inlineStr">
        <is>
          <t>ESTIMATED</t>
        </is>
      </c>
      <c r="F40" s="13" t="inlineStr">
        <is>
          <t>My estimate of how much of this person's week is operations work rather than planning, bookkeeping or reception.</t>
        </is>
      </c>
      <c r="G40" s="13" t="inlineStr">
        <is>
          <t>The person themselves, from a two-week time log. The cheapest input in the model to upgrade.</t>
        </is>
      </c>
      <c r="H40" s="12" t="inlineStr">
        <is>
          <t>2026-09-05</t>
        </is>
      </c>
    </row>
    <row r="41">
      <c r="A41" s="12" t="inlineStr">
        <is>
          <t>R-13</t>
        </is>
      </c>
      <c r="B41" s="24">
        <f>Roster!B7&amp;" — annual compensation"</f>
        <v/>
      </c>
      <c r="C41" s="25">
        <f>Roster!G7</f>
        <v/>
      </c>
      <c r="D41" s="12" t="inlineStr">
        <is>
          <t>usd</t>
        </is>
      </c>
      <c r="E41" s="23" t="inlineStr">
        <is>
          <t>PLACEHOLDER</t>
        </is>
      </c>
      <c r="F41" s="13" t="inlineStr">
        <is>
          <t>NOT FILLED IN. My guess. The 50% operations allocation excludes bookkeeping, HR, facilities and reception.</t>
        </is>
      </c>
      <c r="G41" s="13" t="inlineStr">
        <is>
          <t>The principal.</t>
        </is>
      </c>
      <c r="H41" s="23" t="inlineStr">
        <is>
          <t>never</t>
        </is>
      </c>
    </row>
    <row r="42">
      <c r="A42" s="12" t="inlineStr">
        <is>
          <t>R-14</t>
        </is>
      </c>
      <c r="B42" s="24">
        <f>Roster!B7&amp;" — FTE"</f>
        <v/>
      </c>
      <c r="C42" s="26">
        <f>Roster!C7</f>
        <v/>
      </c>
      <c r="D42" s="12" t="inlineStr">
        <is>
          <t>fte</t>
        </is>
      </c>
      <c r="E42" s="7" t="inlineStr">
        <is>
          <t>OBSERVED</t>
        </is>
      </c>
      <c r="F42" s="13" t="inlineStr">
        <is>
          <t>Headcount I can see.</t>
        </is>
      </c>
      <c r="G42" s="13" t="inlineStr">
        <is>
          <t>The principal holds the contract or the offer letter.</t>
        </is>
      </c>
      <c r="H42" s="12" t="inlineStr">
        <is>
          <t>2026-09-05</t>
        </is>
      </c>
    </row>
    <row r="43">
      <c r="A43" s="12" t="inlineStr">
        <is>
          <t>R-15</t>
        </is>
      </c>
      <c r="B43" s="24">
        <f>Roster!B7&amp;" — share of time on operations"</f>
        <v/>
      </c>
      <c r="C43" s="27">
        <f>Roster!F7</f>
        <v/>
      </c>
      <c r="D43" s="12" t="inlineStr">
        <is>
          <t>pct</t>
        </is>
      </c>
      <c r="E43" s="7" t="inlineStr">
        <is>
          <t>ESTIMATED</t>
        </is>
      </c>
      <c r="F43" s="13" t="inlineStr">
        <is>
          <t>My estimate of how much of this person's week is operations work rather than planning, bookkeeping or reception.</t>
        </is>
      </c>
      <c r="G43" s="13" t="inlineStr">
        <is>
          <t>The person themselves, from a two-week time log. The cheapest input in the model to upgrade.</t>
        </is>
      </c>
      <c r="H43" s="12" t="inlineStr">
        <is>
          <t>2026-09-05</t>
        </is>
      </c>
    </row>
    <row r="44">
      <c r="A44" s="12" t="inlineStr">
        <is>
          <t>R-16</t>
        </is>
      </c>
      <c r="B44" s="24">
        <f>Roster!B8&amp;" — annual compensation"</f>
        <v/>
      </c>
      <c r="C44" s="25">
        <f>Roster!G8</f>
        <v/>
      </c>
      <c r="D44" s="12" t="inlineStr">
        <is>
          <t>usd</t>
        </is>
      </c>
      <c r="E44" s="23" t="inlineStr">
        <is>
          <t>PLACEHOLDER</t>
        </is>
      </c>
      <c r="F44" s="13" t="inlineStr">
        <is>
          <t>NOT FILLED IN. Engagement cost is a guess. 0.38 FTE is roughly 12-13 hours a week, which is my impression of her time here, not a contracted figure.</t>
        </is>
      </c>
      <c r="G44" s="13" t="inlineStr">
        <is>
          <t>The principal holds the engagement letter. Her contracted hours are the second most important number in this model.</t>
        </is>
      </c>
      <c r="H44" s="23" t="inlineStr">
        <is>
          <t>never</t>
        </is>
      </c>
    </row>
    <row r="45">
      <c r="A45" s="12" t="inlineStr">
        <is>
          <t>R-17</t>
        </is>
      </c>
      <c r="B45" s="24">
        <f>Roster!B8&amp;" — FTE"</f>
        <v/>
      </c>
      <c r="C45" s="26">
        <f>Roster!C8</f>
        <v/>
      </c>
      <c r="D45" s="12" t="inlineStr">
        <is>
          <t>fte</t>
        </is>
      </c>
      <c r="E45" s="7" t="inlineStr">
        <is>
          <t>ESTIMATED</t>
        </is>
      </c>
      <c r="F45" s="13" t="inlineStr">
        <is>
          <t>My estimate of the hours actually worked here.</t>
        </is>
      </c>
      <c r="G45" s="13" t="inlineStr">
        <is>
          <t>The principal holds the contract or the offer letter.</t>
        </is>
      </c>
      <c r="H45" s="12" t="inlineStr">
        <is>
          <t>2026-09-05</t>
        </is>
      </c>
    </row>
    <row r="46">
      <c r="A46" s="12" t="inlineStr">
        <is>
          <t>R-18</t>
        </is>
      </c>
      <c r="B46" s="24">
        <f>Roster!B8&amp;" — share of time on operations"</f>
        <v/>
      </c>
      <c r="C46" s="27">
        <f>Roster!F8</f>
        <v/>
      </c>
      <c r="D46" s="12" t="inlineStr">
        <is>
          <t>pct</t>
        </is>
      </c>
      <c r="E46" s="7" t="inlineStr">
        <is>
          <t>ESTIMATED</t>
        </is>
      </c>
      <c r="F46" s="13" t="inlineStr">
        <is>
          <t>My estimate of how much of this person's week is operations work rather than planning, bookkeeping or reception.</t>
        </is>
      </c>
      <c r="G46" s="13" t="inlineStr">
        <is>
          <t>The person themselves, from a two-week time log. The cheapest input in the model to upgrade.</t>
        </is>
      </c>
      <c r="H46" s="12" t="inlineStr">
        <is>
          <t>2026-09-05</t>
        </is>
      </c>
    </row>
    <row r="47">
      <c r="A47" s="12" t="inlineStr">
        <is>
          <t>B-1</t>
        </is>
      </c>
      <c r="B47" s="19">
        <f>"T1 Under $250k — households, average AUM, accounts per household"</f>
        <v/>
      </c>
      <c r="C47" s="28">
        <f>Book!C2&amp;" households · "&amp;TEXT(Book!D2,"$#,##0")&amp;" avg · "&amp;TEXT(Book!E2,"0.0")&amp;" accts"</f>
        <v/>
      </c>
      <c r="D47" s="12" t="inlineStr">
        <is>
          <t>tier</t>
        </is>
      </c>
      <c r="E47" s="7" t="inlineStr">
        <is>
          <t>OBSERVED</t>
        </is>
      </c>
      <c r="F47" s="13" t="inlineStr">
        <is>
          <t>Household count and average balance read off the portfolio system household report. Accounts per household is my estimate from browsing the list, not a count.</t>
        </is>
      </c>
      <c r="G47" s="13" t="inlineStr">
        <is>
          <t>Me - the accounts-per-household figure becomes MEASURED the moment I export an account list and divide.</t>
        </is>
      </c>
      <c r="H47" s="12" t="inlineStr">
        <is>
          <t>2026-09-05</t>
        </is>
      </c>
    </row>
    <row r="48">
      <c r="A48" s="12" t="inlineStr">
        <is>
          <t>B-2</t>
        </is>
      </c>
      <c r="B48" s="19">
        <f>"T2 $250k - $1m — households, average AUM, accounts per household"</f>
        <v/>
      </c>
      <c r="C48" s="28">
        <f>Book!C3&amp;" households · "&amp;TEXT(Book!D3,"$#,##0")&amp;" avg · "&amp;TEXT(Book!E3,"0.0")&amp;" accts"</f>
        <v/>
      </c>
      <c r="D48" s="12" t="inlineStr">
        <is>
          <t>tier</t>
        </is>
      </c>
      <c r="E48" s="7" t="inlineStr">
        <is>
          <t>OBSERVED</t>
        </is>
      </c>
      <c r="F48" s="13" t="inlineStr">
        <is>
          <t>Portfolio system household report. Accounts per household estimated.</t>
        </is>
      </c>
      <c r="G48" s="13" t="inlineStr">
        <is>
          <t>Me.</t>
        </is>
      </c>
      <c r="H48" s="12" t="inlineStr">
        <is>
          <t>2026-09-05</t>
        </is>
      </c>
    </row>
    <row r="49">
      <c r="A49" s="12" t="inlineStr">
        <is>
          <t>B-3</t>
        </is>
      </c>
      <c r="B49" s="19">
        <f>"T3 $1m - $3m — households, average AUM, accounts per household"</f>
        <v/>
      </c>
      <c r="C49" s="28">
        <f>Book!C4&amp;" households · "&amp;TEXT(Book!D4,"$#,##0")&amp;" avg · "&amp;TEXT(Book!E4,"0.0")&amp;" accts"</f>
        <v/>
      </c>
      <c r="D49" s="12" t="inlineStr">
        <is>
          <t>tier</t>
        </is>
      </c>
      <c r="E49" s="7" t="inlineStr">
        <is>
          <t>OBSERVED</t>
        </is>
      </c>
      <c r="F49" s="13" t="inlineStr">
        <is>
          <t>Portfolio system household report. Accounts per household estimated.</t>
        </is>
      </c>
      <c r="G49" s="13" t="inlineStr">
        <is>
          <t>Me.</t>
        </is>
      </c>
      <c r="H49" s="12" t="inlineStr">
        <is>
          <t>2026-09-05</t>
        </is>
      </c>
    </row>
    <row r="50">
      <c r="A50" s="12" t="inlineStr">
        <is>
          <t>B-4</t>
        </is>
      </c>
      <c r="B50" s="19">
        <f>"T4 Over $3m — households, average AUM, accounts per household"</f>
        <v/>
      </c>
      <c r="C50" s="28">
        <f>Book!C5&amp;" households · "&amp;TEXT(Book!D5,"$#,##0")&amp;" avg · "&amp;TEXT(Book!E5,"0.0")&amp;" accts"</f>
        <v/>
      </c>
      <c r="D50" s="12" t="inlineStr">
        <is>
          <t>tier</t>
        </is>
      </c>
      <c r="E50" s="7" t="inlineStr">
        <is>
          <t>OBSERVED</t>
        </is>
      </c>
      <c r="F50" s="13" t="inlineStr">
        <is>
          <t>Portfolio system household report. Accounts per household estimated.</t>
        </is>
      </c>
      <c r="G50" s="13" t="inlineStr">
        <is>
          <t>Me.</t>
        </is>
      </c>
      <c r="H50" s="12" t="inlineStr">
        <is>
          <t>2026-09-05</t>
        </is>
      </c>
    </row>
    <row r="51">
      <c r="A51" s="12" t="inlineStr">
        <is>
          <t>B-5</t>
        </is>
      </c>
      <c r="B51" s="19" t="inlineStr">
        <is>
          <t>How new households distribute across the tiers</t>
        </is>
      </c>
      <c r="C51" s="28">
        <f>Book!A2&amp;" "&amp;TEXT(Book!F2,"0%")&amp;" · "&amp;Book!A3&amp;" "&amp;TEXT(Book!F3,"0%")&amp;" · "&amp;Book!A4&amp;" "&amp;TEXT(Book!F4,"0%")&amp;" · "&amp;Book!A5&amp;" "&amp;TEXT(Book!F5,"0%")</f>
        <v/>
      </c>
      <c r="D51" s="12" t="inlineStr">
        <is>
          <t>mix</t>
        </is>
      </c>
      <c r="E51" s="7" t="inlineStr">
        <is>
          <t>ESTIMATED</t>
        </is>
      </c>
      <c r="F51" s="13" t="inlineStr">
        <is>
          <t>How new households distribute across the tiers. My impression is that new business skews to T3. Not verified.</t>
        </is>
      </c>
      <c r="G51" s="13" t="inlineStr">
        <is>
          <t>The principal, or a CRM report of households opened in the last 24 months by opening balance.</t>
        </is>
      </c>
      <c r="H51" s="12" t="inlineStr">
        <is>
          <t>2026-09-05</t>
        </is>
      </c>
    </row>
    <row r="52">
      <c r="A52" s="12" t="inlineStr">
        <is>
          <t>F-1</t>
        </is>
      </c>
      <c r="B52" s="19" t="inlineStr">
        <is>
          <t>Tiered fee schedule (5 bands)</t>
        </is>
      </c>
      <c r="C52" s="28">
        <f>"see FeeSchedule tab — "&amp;TEXT(FeeSchedule!D2,"0.00%")&amp;" to "&amp;TEXT(FeeSchedule!D6,"0.00%")</f>
        <v/>
      </c>
      <c r="D52" s="12" t="inlineStr">
        <is>
          <t>schedule</t>
        </is>
      </c>
      <c r="E52" s="7" t="inlineStr">
        <is>
          <t>OBSERVED</t>
        </is>
      </c>
      <c r="F52" s="13" t="inlineStr">
        <is>
          <t>The published fee schedule. Read off the ADV Part 2A / the client agreement.</t>
        </is>
      </c>
      <c r="G52" s="13" t="inlineStr">
        <is>
          <t>The principal, or the ADV itself.</t>
        </is>
      </c>
      <c r="H52" s="12" t="inlineStr">
        <is>
          <t>2026-09-05</t>
        </is>
      </c>
    </row>
    <row r="53">
      <c r="A53" s="12" t="inlineStr">
        <is>
          <t>T-1</t>
        </is>
      </c>
      <c r="B53" s="24">
        <f>Tasks!B2&amp;IF(SUM(Tasks!F2:I2)=4,""," (selected tiers)")</f>
        <v/>
      </c>
      <c r="C53" s="28">
        <f>TEXT(Tasks!D2,"#,##0")&amp;" min x "&amp;TEXT(Tasks!E2,"0.00")&amp;"/yr · "&amp;Tasks!C2&amp;" · "&amp;Tasks!J2</f>
        <v/>
      </c>
      <c r="D53" s="12" t="inlineStr">
        <is>
          <t>minutes</t>
        </is>
      </c>
      <c r="E53" s="28">
        <f>Tasks!L2</f>
        <v/>
      </c>
      <c r="F53" s="13" t="inlineStr">
        <is>
          <t>Seeded from the shape of real RIA operations work. The minutes are not measured.</t>
        </is>
      </c>
      <c r="G53" s="13" t="inlineStr">
        <is>
          <t>Me, with a stopwatch. Three runs, median, interruptions included.</t>
        </is>
      </c>
      <c r="H53" s="23" t="inlineStr">
        <is>
          <t>never</t>
        </is>
      </c>
    </row>
    <row r="54">
      <c r="A54" s="12" t="inlineStr">
        <is>
          <t>T-2</t>
        </is>
      </c>
      <c r="B54" s="24">
        <f>Tasks!B3&amp;IF(SUM(Tasks!F3:I3)=4,""," (selected tiers)")</f>
        <v/>
      </c>
      <c r="C54" s="28">
        <f>TEXT(Tasks!D3,"#,##0")&amp;" min x "&amp;TEXT(Tasks!E3,"0.00")&amp;"/yr · "&amp;Tasks!C3&amp;" · "&amp;Tasks!J3</f>
        <v/>
      </c>
      <c r="D54" s="12" t="inlineStr">
        <is>
          <t>minutes</t>
        </is>
      </c>
      <c r="E54" s="28">
        <f>Tasks!L3</f>
        <v/>
      </c>
      <c r="F54" s="13" t="inlineStr">
        <is>
          <t>Seeded from the shape of real RIA operations work. The minutes are not measured.</t>
        </is>
      </c>
      <c r="G54" s="13" t="inlineStr">
        <is>
          <t>Me, with a stopwatch. Three runs, median, interruptions included.</t>
        </is>
      </c>
      <c r="H54" s="23" t="inlineStr">
        <is>
          <t>never</t>
        </is>
      </c>
    </row>
    <row r="55">
      <c r="A55" s="12" t="inlineStr">
        <is>
          <t>T-3</t>
        </is>
      </c>
      <c r="B55" s="24">
        <f>Tasks!B4&amp;IF(SUM(Tasks!F4:I4)=4,""," (selected tiers)")</f>
        <v/>
      </c>
      <c r="C55" s="28">
        <f>TEXT(Tasks!D4,"#,##0")&amp;" min x "&amp;TEXT(Tasks!E4,"0.00")&amp;"/yr · "&amp;Tasks!C4&amp;" · "&amp;Tasks!J4</f>
        <v/>
      </c>
      <c r="D55" s="12" t="inlineStr">
        <is>
          <t>minutes</t>
        </is>
      </c>
      <c r="E55" s="28">
        <f>Tasks!L4</f>
        <v/>
      </c>
      <c r="F55" s="13" t="inlineStr">
        <is>
          <t>Seeded from the shape of real RIA operations work. The minutes are not measured.</t>
        </is>
      </c>
      <c r="G55" s="13" t="inlineStr">
        <is>
          <t>Me, with a stopwatch. Three runs, median, interruptions included.</t>
        </is>
      </c>
      <c r="H55" s="23" t="inlineStr">
        <is>
          <t>never</t>
        </is>
      </c>
    </row>
    <row r="56">
      <c r="A56" s="12" t="inlineStr">
        <is>
          <t>T-4</t>
        </is>
      </c>
      <c r="B56" s="24">
        <f>Tasks!B5&amp;IF(SUM(Tasks!F5:I5)=4,""," (selected tiers)")</f>
        <v/>
      </c>
      <c r="C56" s="28">
        <f>TEXT(Tasks!D5,"#,##0")&amp;" min x "&amp;TEXT(Tasks!E5,"0.00")&amp;"/yr · "&amp;Tasks!C5&amp;" · "&amp;Tasks!J5</f>
        <v/>
      </c>
      <c r="D56" s="12" t="inlineStr">
        <is>
          <t>minutes</t>
        </is>
      </c>
      <c r="E56" s="28">
        <f>Tasks!L5</f>
        <v/>
      </c>
      <c r="F56" s="13" t="inlineStr">
        <is>
          <t>Seeded from the shape of real RIA operations work. The minutes are not measured.</t>
        </is>
      </c>
      <c r="G56" s="13" t="inlineStr">
        <is>
          <t>Me, with a stopwatch. Three runs, median, interruptions included.</t>
        </is>
      </c>
      <c r="H56" s="23" t="inlineStr">
        <is>
          <t>never</t>
        </is>
      </c>
    </row>
    <row r="57">
      <c r="A57" s="12" t="inlineStr">
        <is>
          <t>T-5</t>
        </is>
      </c>
      <c r="B57" s="24">
        <f>Tasks!B6&amp;IF(SUM(Tasks!F6:I6)=4,""," (selected tiers)")</f>
        <v/>
      </c>
      <c r="C57" s="28">
        <f>TEXT(Tasks!D6,"#,##0")&amp;" min x "&amp;TEXT(Tasks!E6,"0.00")&amp;"/yr · "&amp;Tasks!C6&amp;" · "&amp;Tasks!J6</f>
        <v/>
      </c>
      <c r="D57" s="12" t="inlineStr">
        <is>
          <t>minutes</t>
        </is>
      </c>
      <c r="E57" s="28">
        <f>Tasks!L6</f>
        <v/>
      </c>
      <c r="F57" s="13" t="inlineStr">
        <is>
          <t>Seeded from the shape of real RIA operations work. The minutes are not measured.</t>
        </is>
      </c>
      <c r="G57" s="13" t="inlineStr">
        <is>
          <t>Me, with a stopwatch. Three runs, median, interruptions included.</t>
        </is>
      </c>
      <c r="H57" s="23" t="inlineStr">
        <is>
          <t>never</t>
        </is>
      </c>
    </row>
    <row r="58">
      <c r="A58" s="12" t="inlineStr">
        <is>
          <t>T-6</t>
        </is>
      </c>
      <c r="B58" s="24">
        <f>Tasks!B7&amp;IF(SUM(Tasks!F7:I7)=4,""," (selected tiers)")</f>
        <v/>
      </c>
      <c r="C58" s="28">
        <f>TEXT(Tasks!D7,"#,##0")&amp;" min x "&amp;TEXT(Tasks!E7,"0.00")&amp;"/yr · "&amp;Tasks!C7&amp;" · "&amp;Tasks!J7</f>
        <v/>
      </c>
      <c r="D58" s="12" t="inlineStr">
        <is>
          <t>minutes</t>
        </is>
      </c>
      <c r="E58" s="28">
        <f>Tasks!L7</f>
        <v/>
      </c>
      <c r="F58" s="13" t="inlineStr">
        <is>
          <t>Seeded from the shape of real RIA operations work. The minutes are not measured.</t>
        </is>
      </c>
      <c r="G58" s="13" t="inlineStr">
        <is>
          <t>Me, with a stopwatch. Three runs, median, interruptions included.</t>
        </is>
      </c>
      <c r="H58" s="23" t="inlineStr">
        <is>
          <t>never</t>
        </is>
      </c>
    </row>
    <row r="59">
      <c r="A59" s="12" t="inlineStr">
        <is>
          <t>T-7</t>
        </is>
      </c>
      <c r="B59" s="24">
        <f>Tasks!B8&amp;IF(SUM(Tasks!F8:I8)=4,""," (selected tiers)")</f>
        <v/>
      </c>
      <c r="C59" s="28">
        <f>TEXT(Tasks!D8,"#,##0")&amp;" min x "&amp;TEXT(Tasks!E8,"0.00")&amp;"/yr · "&amp;Tasks!C8&amp;" · "&amp;Tasks!J8</f>
        <v/>
      </c>
      <c r="D59" s="12" t="inlineStr">
        <is>
          <t>minutes</t>
        </is>
      </c>
      <c r="E59" s="28">
        <f>Tasks!L8</f>
        <v/>
      </c>
      <c r="F59" s="13" t="inlineStr">
        <is>
          <t>Seeded from the shape of real RIA operations work. The minutes are not measured.</t>
        </is>
      </c>
      <c r="G59" s="13" t="inlineStr">
        <is>
          <t>Me, with a stopwatch. Three runs, median, interruptions included.</t>
        </is>
      </c>
      <c r="H59" s="23" t="inlineStr">
        <is>
          <t>never</t>
        </is>
      </c>
    </row>
    <row r="60">
      <c r="A60" s="12" t="inlineStr">
        <is>
          <t>T-8</t>
        </is>
      </c>
      <c r="B60" s="24">
        <f>Tasks!B9&amp;IF(SUM(Tasks!F9:I9)=4,""," (selected tiers)")</f>
        <v/>
      </c>
      <c r="C60" s="28">
        <f>TEXT(Tasks!D9,"#,##0")&amp;" min x "&amp;TEXT(Tasks!E9,"0.00")&amp;"/yr · "&amp;Tasks!C9&amp;" · "&amp;Tasks!J9</f>
        <v/>
      </c>
      <c r="D60" s="12" t="inlineStr">
        <is>
          <t>minutes</t>
        </is>
      </c>
      <c r="E60" s="28">
        <f>Tasks!L9</f>
        <v/>
      </c>
      <c r="F60" s="13" t="inlineStr">
        <is>
          <t>Seeded from the shape of real RIA operations work. The minutes are not measured.</t>
        </is>
      </c>
      <c r="G60" s="13" t="inlineStr">
        <is>
          <t>Me, with a stopwatch. Three runs, median, interruptions included.</t>
        </is>
      </c>
      <c r="H60" s="23" t="inlineStr">
        <is>
          <t>never</t>
        </is>
      </c>
    </row>
    <row r="61">
      <c r="A61" s="12" t="inlineStr">
        <is>
          <t>T-9</t>
        </is>
      </c>
      <c r="B61" s="24">
        <f>Tasks!B10&amp;IF(SUM(Tasks!F10:I10)=4,""," (selected tiers)")</f>
        <v/>
      </c>
      <c r="C61" s="28">
        <f>TEXT(Tasks!D10,"#,##0")&amp;" min x "&amp;TEXT(Tasks!E10,"0.00")&amp;"/yr · "&amp;Tasks!C10&amp;" · "&amp;Tasks!J10</f>
        <v/>
      </c>
      <c r="D61" s="12" t="inlineStr">
        <is>
          <t>minutes</t>
        </is>
      </c>
      <c r="E61" s="28">
        <f>Tasks!L10</f>
        <v/>
      </c>
      <c r="F61" s="13" t="inlineStr">
        <is>
          <t>Seeded from the shape of real RIA operations work. The minutes are not measured.</t>
        </is>
      </c>
      <c r="G61" s="13" t="inlineStr">
        <is>
          <t>Me, with a stopwatch. Three runs, median, interruptions included.</t>
        </is>
      </c>
      <c r="H61" s="23" t="inlineStr">
        <is>
          <t>never</t>
        </is>
      </c>
    </row>
    <row r="62">
      <c r="A62" s="12" t="inlineStr">
        <is>
          <t>T-10</t>
        </is>
      </c>
      <c r="B62" s="24">
        <f>Tasks!B11&amp;IF(SUM(Tasks!F11:I11)=4,""," (selected tiers)")</f>
        <v/>
      </c>
      <c r="C62" s="28">
        <f>TEXT(Tasks!D11,"#,##0")&amp;" min x "&amp;TEXT(Tasks!E11,"0.00")&amp;"/yr · "&amp;Tasks!C11&amp;" · "&amp;Tasks!J11</f>
        <v/>
      </c>
      <c r="D62" s="12" t="inlineStr">
        <is>
          <t>minutes</t>
        </is>
      </c>
      <c r="E62" s="28">
        <f>Tasks!L11</f>
        <v/>
      </c>
      <c r="F62" s="13" t="inlineStr">
        <is>
          <t>Seeded from the shape of real RIA operations work. The minutes are not measured.</t>
        </is>
      </c>
      <c r="G62" s="13" t="inlineStr">
        <is>
          <t>Me, with a stopwatch. Three runs, median, interruptions included.</t>
        </is>
      </c>
      <c r="H62" s="23" t="inlineStr">
        <is>
          <t>never</t>
        </is>
      </c>
    </row>
    <row r="63">
      <c r="A63" s="12" t="inlineStr">
        <is>
          <t>T-11</t>
        </is>
      </c>
      <c r="B63" s="24">
        <f>Tasks!B12&amp;IF(SUM(Tasks!F12:I12)=4,""," (selected tiers)")</f>
        <v/>
      </c>
      <c r="C63" s="28">
        <f>TEXT(Tasks!D12,"#,##0")&amp;" min x "&amp;TEXT(Tasks!E12,"0.00")&amp;"/yr · "&amp;Tasks!C12&amp;" · "&amp;Tasks!J12</f>
        <v/>
      </c>
      <c r="D63" s="12" t="inlineStr">
        <is>
          <t>minutes</t>
        </is>
      </c>
      <c r="E63" s="28">
        <f>Tasks!L12</f>
        <v/>
      </c>
      <c r="F63" s="13" t="inlineStr">
        <is>
          <t>Seeded from the shape of real RIA operations work. The minutes are not measured.</t>
        </is>
      </c>
      <c r="G63" s="13" t="inlineStr">
        <is>
          <t>Me, with a stopwatch. Three runs, median, interruptions included.</t>
        </is>
      </c>
      <c r="H63" s="23" t="inlineStr">
        <is>
          <t>never</t>
        </is>
      </c>
    </row>
    <row r="64">
      <c r="A64" s="12" t="inlineStr">
        <is>
          <t>T-12</t>
        </is>
      </c>
      <c r="B64" s="24">
        <f>Tasks!B13&amp;IF(SUM(Tasks!F13:I13)=4,""," (selected tiers)")</f>
        <v/>
      </c>
      <c r="C64" s="28">
        <f>TEXT(Tasks!D13,"#,##0")&amp;" min x "&amp;TEXT(Tasks!E13,"0.00")&amp;"/yr · "&amp;Tasks!C13&amp;" · "&amp;Tasks!J13</f>
        <v/>
      </c>
      <c r="D64" s="12" t="inlineStr">
        <is>
          <t>minutes</t>
        </is>
      </c>
      <c r="E64" s="28">
        <f>Tasks!L13</f>
        <v/>
      </c>
      <c r="F64" s="13" t="inlineStr">
        <is>
          <t>Seeded from the shape of real RIA operations work. The minutes are not measured.</t>
        </is>
      </c>
      <c r="G64" s="13" t="inlineStr">
        <is>
          <t>Me, with a stopwatch. Three runs, median, interruptions included.</t>
        </is>
      </c>
      <c r="H64" s="23" t="inlineStr">
        <is>
          <t>never</t>
        </is>
      </c>
    </row>
    <row r="65">
      <c r="A65" s="12" t="inlineStr">
        <is>
          <t>T-13</t>
        </is>
      </c>
      <c r="B65" s="24">
        <f>Tasks!B14&amp;IF(SUM(Tasks!F14:I14)=4,""," (selected tiers)")</f>
        <v/>
      </c>
      <c r="C65" s="28">
        <f>TEXT(Tasks!D14,"#,##0")&amp;" min x "&amp;TEXT(Tasks!E14,"0.00")&amp;"/yr · "&amp;Tasks!C14&amp;" · "&amp;Tasks!J14</f>
        <v/>
      </c>
      <c r="D65" s="12" t="inlineStr">
        <is>
          <t>minutes</t>
        </is>
      </c>
      <c r="E65" s="28">
        <f>Tasks!L14</f>
        <v/>
      </c>
      <c r="F65" s="13" t="inlineStr">
        <is>
          <t>Seeded from the shape of real RIA operations work. The minutes are not measured.</t>
        </is>
      </c>
      <c r="G65" s="13" t="inlineStr">
        <is>
          <t>Me, with a stopwatch. Three runs, median, interruptions included.</t>
        </is>
      </c>
      <c r="H65" s="23" t="inlineStr">
        <is>
          <t>never</t>
        </is>
      </c>
    </row>
    <row r="66">
      <c r="A66" s="12" t="inlineStr">
        <is>
          <t>T-14</t>
        </is>
      </c>
      <c r="B66" s="24">
        <f>Tasks!B15&amp;IF(SUM(Tasks!F15:I15)=4,""," (selected tiers)")</f>
        <v/>
      </c>
      <c r="C66" s="28">
        <f>TEXT(Tasks!D15,"#,##0")&amp;" min x "&amp;TEXT(Tasks!E15,"0.00")&amp;"/yr · "&amp;Tasks!C15&amp;" · "&amp;Tasks!J15</f>
        <v/>
      </c>
      <c r="D66" s="12" t="inlineStr">
        <is>
          <t>minutes</t>
        </is>
      </c>
      <c r="E66" s="28">
        <f>Tasks!L15</f>
        <v/>
      </c>
      <c r="F66" s="13" t="inlineStr">
        <is>
          <t>Seeded from the shape of real RIA operations work. The minutes are not measured.</t>
        </is>
      </c>
      <c r="G66" s="13" t="inlineStr">
        <is>
          <t>Me, with a stopwatch. Three runs, median, interruptions included.</t>
        </is>
      </c>
      <c r="H66" s="23" t="inlineStr">
        <is>
          <t>never</t>
        </is>
      </c>
    </row>
    <row r="67">
      <c r="A67" s="12" t="inlineStr">
        <is>
          <t>T-15</t>
        </is>
      </c>
      <c r="B67" s="24">
        <f>Tasks!B16&amp;IF(SUM(Tasks!F16:I16)=4,""," (selected tiers)")</f>
        <v/>
      </c>
      <c r="C67" s="28">
        <f>TEXT(Tasks!D16,"#,##0")&amp;" min x "&amp;TEXT(Tasks!E16,"0.00")&amp;"/yr · "&amp;Tasks!C16&amp;" · "&amp;Tasks!J16</f>
        <v/>
      </c>
      <c r="D67" s="12" t="inlineStr">
        <is>
          <t>minutes</t>
        </is>
      </c>
      <c r="E67" s="28">
        <f>Tasks!L16</f>
        <v/>
      </c>
      <c r="F67" s="13" t="inlineStr">
        <is>
          <t>Seeded from the shape of real RIA operations work. The minutes are not measured.</t>
        </is>
      </c>
      <c r="G67" s="13" t="inlineStr">
        <is>
          <t>Me, with a stopwatch. Three runs, median, interruptions included.</t>
        </is>
      </c>
      <c r="H67" s="23" t="inlineStr">
        <is>
          <t>never</t>
        </is>
      </c>
    </row>
    <row r="68">
      <c r="A68" s="12" t="inlineStr">
        <is>
          <t>T-16</t>
        </is>
      </c>
      <c r="B68" s="24">
        <f>Tasks!B17&amp;IF(SUM(Tasks!F17:I17)=4,""," (selected tiers)")</f>
        <v/>
      </c>
      <c r="C68" s="28">
        <f>TEXT(Tasks!D17,"#,##0")&amp;" min x "&amp;TEXT(Tasks!E17,"0.00")&amp;"/yr · "&amp;Tasks!C17&amp;" · "&amp;Tasks!J17</f>
        <v/>
      </c>
      <c r="D68" s="12" t="inlineStr">
        <is>
          <t>minutes</t>
        </is>
      </c>
      <c r="E68" s="28">
        <f>Tasks!L17</f>
        <v/>
      </c>
      <c r="F68" s="13" t="inlineStr">
        <is>
          <t>Seeded from the shape of real RIA operations work. The minutes are not measured.</t>
        </is>
      </c>
      <c r="G68" s="13" t="inlineStr">
        <is>
          <t>Me, with a stopwatch. Three runs, median, interruptions included.</t>
        </is>
      </c>
      <c r="H68" s="23" t="inlineStr">
        <is>
          <t>never</t>
        </is>
      </c>
    </row>
    <row r="69">
      <c r="A69" s="12" t="inlineStr">
        <is>
          <t>T-17</t>
        </is>
      </c>
      <c r="B69" s="24">
        <f>Tasks!B18&amp;IF(SUM(Tasks!F18:I18)=4,""," (selected tiers)")</f>
        <v/>
      </c>
      <c r="C69" s="28">
        <f>TEXT(Tasks!D18,"#,##0")&amp;" min x "&amp;TEXT(Tasks!E18,"0.00")&amp;"/yr · "&amp;Tasks!C18&amp;" · "&amp;Tasks!J18</f>
        <v/>
      </c>
      <c r="D69" s="12" t="inlineStr">
        <is>
          <t>minutes</t>
        </is>
      </c>
      <c r="E69" s="28">
        <f>Tasks!L18</f>
        <v/>
      </c>
      <c r="F69" s="13" t="inlineStr">
        <is>
          <t>Seeded from the shape of real RIA operations work. The minutes are not measured.</t>
        </is>
      </c>
      <c r="G69" s="13" t="inlineStr">
        <is>
          <t>Me, with a stopwatch. Three runs, median, interruptions included.</t>
        </is>
      </c>
      <c r="H69" s="23" t="inlineStr">
        <is>
          <t>never</t>
        </is>
      </c>
    </row>
    <row r="70">
      <c r="A70" s="12" t="inlineStr">
        <is>
          <t>T-18</t>
        </is>
      </c>
      <c r="B70" s="24">
        <f>Tasks!B19&amp;IF(SUM(Tasks!F19:I19)=4,""," (selected tiers)")</f>
        <v/>
      </c>
      <c r="C70" s="28">
        <f>TEXT(Tasks!D19,"#,##0")&amp;" min x "&amp;TEXT(Tasks!E19,"0.00")&amp;"/yr · "&amp;Tasks!C19&amp;" · "&amp;Tasks!J19</f>
        <v/>
      </c>
      <c r="D70" s="12" t="inlineStr">
        <is>
          <t>minutes</t>
        </is>
      </c>
      <c r="E70" s="28">
        <f>Tasks!L19</f>
        <v/>
      </c>
      <c r="F70" s="13" t="inlineStr">
        <is>
          <t>Seeded from the shape of real RIA operations work. The minutes are not measured.</t>
        </is>
      </c>
      <c r="G70" s="13" t="inlineStr">
        <is>
          <t>Me, with a stopwatch. Three runs, median, interruptions included.</t>
        </is>
      </c>
      <c r="H70" s="23" t="inlineStr">
        <is>
          <t>never</t>
        </is>
      </c>
    </row>
    <row r="71">
      <c r="A71" s="12" t="inlineStr">
        <is>
          <t>T-19</t>
        </is>
      </c>
      <c r="B71" s="24">
        <f>Tasks!B20&amp;IF(SUM(Tasks!F20:I20)=4,""," (selected tiers)")</f>
        <v/>
      </c>
      <c r="C71" s="28">
        <f>TEXT(Tasks!D20,"#,##0")&amp;" min x "&amp;TEXT(Tasks!E20,"0.00")&amp;"/yr · "&amp;Tasks!C20&amp;" · "&amp;Tasks!J20</f>
        <v/>
      </c>
      <c r="D71" s="12" t="inlineStr">
        <is>
          <t>minutes</t>
        </is>
      </c>
      <c r="E71" s="28">
        <f>Tasks!L20</f>
        <v/>
      </c>
      <c r="F71" s="13" t="inlineStr">
        <is>
          <t>Seeded from the shape of real RIA operations work. The minutes are not measured.</t>
        </is>
      </c>
      <c r="G71" s="13" t="inlineStr">
        <is>
          <t>Me, with a stopwatch. Three runs, median, interruptions included.</t>
        </is>
      </c>
      <c r="H71" s="23" t="inlineStr">
        <is>
          <t>never</t>
        </is>
      </c>
    </row>
    <row r="72">
      <c r="A72" s="12" t="inlineStr">
        <is>
          <t>T-20</t>
        </is>
      </c>
      <c r="B72" s="24">
        <f>Tasks!B21&amp;IF(SUM(Tasks!F21:I21)=4,""," (selected tiers)")</f>
        <v/>
      </c>
      <c r="C72" s="28">
        <f>TEXT(Tasks!D21,"#,##0")&amp;" min x "&amp;TEXT(Tasks!E21,"0.00")&amp;"/yr · "&amp;Tasks!C21&amp;" · "&amp;Tasks!J21</f>
        <v/>
      </c>
      <c r="D72" s="12" t="inlineStr">
        <is>
          <t>minutes</t>
        </is>
      </c>
      <c r="E72" s="28">
        <f>Tasks!L21</f>
        <v/>
      </c>
      <c r="F72" s="13" t="inlineStr">
        <is>
          <t>Seeded from the shape of real RIA operations work. The minutes are not measured.</t>
        </is>
      </c>
      <c r="G72" s="13" t="inlineStr">
        <is>
          <t>Me, with a stopwatch. Three runs, median, interruptions included.</t>
        </is>
      </c>
      <c r="H72" s="23" t="inlineStr">
        <is>
          <t>never</t>
        </is>
      </c>
    </row>
    <row r="73">
      <c r="A73" s="12" t="inlineStr">
        <is>
          <t>T-21</t>
        </is>
      </c>
      <c r="B73" s="24">
        <f>Tasks!B22&amp;IF(SUM(Tasks!F22:I22)=4,""," (selected tiers)")</f>
        <v/>
      </c>
      <c r="C73" s="28">
        <f>TEXT(Tasks!D22,"#,##0")&amp;" min x "&amp;TEXT(Tasks!E22,"0.00")&amp;"/yr · "&amp;Tasks!C22&amp;" · "&amp;Tasks!J22</f>
        <v/>
      </c>
      <c r="D73" s="12" t="inlineStr">
        <is>
          <t>minutes</t>
        </is>
      </c>
      <c r="E73" s="28">
        <f>Tasks!L22</f>
        <v/>
      </c>
      <c r="F73" s="13" t="inlineStr">
        <is>
          <t>Seeded from the shape of real RIA operations work. The minutes are not measured.</t>
        </is>
      </c>
      <c r="G73" s="13" t="inlineStr">
        <is>
          <t>Me, with a stopwatch. Three runs, median, interruptions included.</t>
        </is>
      </c>
      <c r="H73" s="23" t="inlineStr">
        <is>
          <t>never</t>
        </is>
      </c>
    </row>
    <row r="74">
      <c r="A74" s="12" t="inlineStr">
        <is>
          <t>T-22</t>
        </is>
      </c>
      <c r="B74" s="24">
        <f>Tasks!B23&amp;IF(SUM(Tasks!F23:I23)=4,""," (selected tiers)")</f>
        <v/>
      </c>
      <c r="C74" s="28">
        <f>TEXT(Tasks!D23,"#,##0")&amp;" min x "&amp;TEXT(Tasks!E23,"0.00")&amp;"/yr · "&amp;Tasks!C23&amp;" · "&amp;Tasks!J23</f>
        <v/>
      </c>
      <c r="D74" s="12" t="inlineStr">
        <is>
          <t>minutes</t>
        </is>
      </c>
      <c r="E74" s="28">
        <f>Tasks!L23</f>
        <v/>
      </c>
      <c r="F74" s="13" t="inlineStr">
        <is>
          <t>Seeded from the shape of real RIA operations work. The minutes are not measured.</t>
        </is>
      </c>
      <c r="G74" s="13" t="inlineStr">
        <is>
          <t>Me, with a stopwatch. Three runs, median, interruptions included.</t>
        </is>
      </c>
      <c r="H74" s="23" t="inlineStr">
        <is>
          <t>never</t>
        </is>
      </c>
    </row>
    <row r="75">
      <c r="A75" s="12" t="inlineStr">
        <is>
          <t>T-23</t>
        </is>
      </c>
      <c r="B75" s="24">
        <f>Tasks!B24&amp;IF(SUM(Tasks!F24:I24)=4,""," (selected tiers)")</f>
        <v/>
      </c>
      <c r="C75" s="28">
        <f>TEXT(Tasks!D24,"#,##0")&amp;" min x "&amp;TEXT(Tasks!E24,"0.00")&amp;"/yr · "&amp;Tasks!C24&amp;" · "&amp;Tasks!J24</f>
        <v/>
      </c>
      <c r="D75" s="12" t="inlineStr">
        <is>
          <t>minutes</t>
        </is>
      </c>
      <c r="E75" s="28">
        <f>Tasks!L24</f>
        <v/>
      </c>
      <c r="F75" s="13" t="inlineStr">
        <is>
          <t>Seeded from the shape of real RIA operations work. The minutes are not measured.</t>
        </is>
      </c>
      <c r="G75" s="13" t="inlineStr">
        <is>
          <t>Me, with a stopwatch. Three runs, median, interruptions included.</t>
        </is>
      </c>
      <c r="H75" s="23" t="inlineStr">
        <is>
          <t>never</t>
        </is>
      </c>
    </row>
    <row r="76">
      <c r="A76" s="12" t="inlineStr">
        <is>
          <t>T-24</t>
        </is>
      </c>
      <c r="B76" s="24">
        <f>Tasks!B25&amp;IF(SUM(Tasks!F25:I25)=4,""," (selected tiers)")</f>
        <v/>
      </c>
      <c r="C76" s="28">
        <f>TEXT(Tasks!D25,"#,##0")&amp;" min x "&amp;TEXT(Tasks!E25,"0.00")&amp;"/yr · "&amp;Tasks!C25&amp;" · "&amp;Tasks!J25</f>
        <v/>
      </c>
      <c r="D76" s="12" t="inlineStr">
        <is>
          <t>minutes</t>
        </is>
      </c>
      <c r="E76" s="28">
        <f>Tasks!L25</f>
        <v/>
      </c>
      <c r="F76" s="13" t="inlineStr">
        <is>
          <t>Seeded from the shape of real RIA operations work. The minutes are not measured.</t>
        </is>
      </c>
      <c r="G76" s="13" t="inlineStr">
        <is>
          <t>Me, with a stopwatch. Three runs, median, interruptions included.</t>
        </is>
      </c>
      <c r="H76" s="23" t="inlineStr">
        <is>
          <t>never</t>
        </is>
      </c>
    </row>
    <row r="77">
      <c r="A77" s="12" t="inlineStr">
        <is>
          <t>T-25</t>
        </is>
      </c>
      <c r="B77" s="24">
        <f>Tasks!B26&amp;IF(SUM(Tasks!F26:I26)=4,""," (selected tiers)")</f>
        <v/>
      </c>
      <c r="C77" s="28">
        <f>TEXT(Tasks!D26,"#,##0")&amp;" min x "&amp;TEXT(Tasks!E26,"0.00")&amp;"/yr · "&amp;Tasks!C26&amp;" · "&amp;Tasks!J26</f>
        <v/>
      </c>
      <c r="D77" s="12" t="inlineStr">
        <is>
          <t>minutes</t>
        </is>
      </c>
      <c r="E77" s="28">
        <f>Tasks!L26</f>
        <v/>
      </c>
      <c r="F77" s="13" t="inlineStr">
        <is>
          <t>Seeded from the shape of real RIA operations work. The minutes are not measured.</t>
        </is>
      </c>
      <c r="G77" s="13" t="inlineStr">
        <is>
          <t>Me, with a stopwatch. Three runs, median, interruptions included.</t>
        </is>
      </c>
      <c r="H77" s="23" t="inlineStr">
        <is>
          <t>never</t>
        </is>
      </c>
    </row>
    <row r="78">
      <c r="A78" s="12" t="inlineStr">
        <is>
          <t>T-26</t>
        </is>
      </c>
      <c r="B78" s="24">
        <f>Tasks!B27&amp;IF(SUM(Tasks!F27:I27)=4,""," (selected tiers)")</f>
        <v/>
      </c>
      <c r="C78" s="28">
        <f>TEXT(Tasks!D27,"#,##0")&amp;" min x "&amp;TEXT(Tasks!E27,"0.00")&amp;"/yr · "&amp;Tasks!C27&amp;" · "&amp;Tasks!J27</f>
        <v/>
      </c>
      <c r="D78" s="12" t="inlineStr">
        <is>
          <t>minutes</t>
        </is>
      </c>
      <c r="E78" s="28">
        <f>Tasks!L27</f>
        <v/>
      </c>
      <c r="F78" s="13" t="inlineStr">
        <is>
          <t>Seeded from the shape of real RIA operations work. The minutes are not measured.</t>
        </is>
      </c>
      <c r="G78" s="13" t="inlineStr">
        <is>
          <t>Me, with a stopwatch. Three runs, median, interruptions included.</t>
        </is>
      </c>
      <c r="H78" s="23" t="inlineStr">
        <is>
          <t>never</t>
        </is>
      </c>
    </row>
    <row r="79">
      <c r="A79" s="12" t="inlineStr">
        <is>
          <t>T-27</t>
        </is>
      </c>
      <c r="B79" s="24">
        <f>Tasks!B28&amp;IF(SUM(Tasks!F28:I28)=4,""," (selected tiers)")</f>
        <v/>
      </c>
      <c r="C79" s="28">
        <f>TEXT(Tasks!D28,"#,##0")&amp;" min x "&amp;TEXT(Tasks!E28,"0.00")&amp;"/yr · "&amp;Tasks!C28&amp;" · "&amp;Tasks!J28</f>
        <v/>
      </c>
      <c r="D79" s="12" t="inlineStr">
        <is>
          <t>minutes</t>
        </is>
      </c>
      <c r="E79" s="28">
        <f>Tasks!L28</f>
        <v/>
      </c>
      <c r="F79" s="13" t="inlineStr">
        <is>
          <t>Seeded from the shape of real RIA operations work. The minutes are not measured.</t>
        </is>
      </c>
      <c r="G79" s="13" t="inlineStr">
        <is>
          <t>Me, with a stopwatch. Three runs, median, interruptions included.</t>
        </is>
      </c>
      <c r="H79" s="23" t="inlineStr">
        <is>
          <t>never</t>
        </is>
      </c>
    </row>
    <row r="80">
      <c r="A80" s="12" t="inlineStr">
        <is>
          <t>T-28</t>
        </is>
      </c>
      <c r="B80" s="24">
        <f>Tasks!B29&amp;IF(SUM(Tasks!F29:I29)=4,""," (selected tiers)")</f>
        <v/>
      </c>
      <c r="C80" s="28">
        <f>TEXT(Tasks!D29,"#,##0")&amp;" min x "&amp;TEXT(Tasks!E29,"0.00")&amp;"/yr · "&amp;Tasks!C29&amp;" · "&amp;Tasks!J29</f>
        <v/>
      </c>
      <c r="D80" s="12" t="inlineStr">
        <is>
          <t>minutes</t>
        </is>
      </c>
      <c r="E80" s="28">
        <f>Tasks!L29</f>
        <v/>
      </c>
      <c r="F80" s="13" t="inlineStr">
        <is>
          <t>Seeded from the shape of real RIA operations work. The minutes are not measured.</t>
        </is>
      </c>
      <c r="G80" s="13" t="inlineStr">
        <is>
          <t>Me, with a stopwatch. Three runs, median, interruptions included.</t>
        </is>
      </c>
      <c r="H80" s="23" t="inlineStr">
        <is>
          <t>never</t>
        </is>
      </c>
    </row>
    <row r="81">
      <c r="A81" s="12" t="inlineStr">
        <is>
          <t>T-29</t>
        </is>
      </c>
      <c r="B81" s="24">
        <f>Tasks!B30&amp;IF(SUM(Tasks!F30:I30)=4,""," (selected tiers)")</f>
        <v/>
      </c>
      <c r="C81" s="28">
        <f>TEXT(Tasks!D30,"#,##0")&amp;" min x "&amp;TEXT(Tasks!E30,"0.00")&amp;"/yr · "&amp;Tasks!C30&amp;" · "&amp;Tasks!J30</f>
        <v/>
      </c>
      <c r="D81" s="12" t="inlineStr">
        <is>
          <t>minutes</t>
        </is>
      </c>
      <c r="E81" s="28">
        <f>Tasks!L30</f>
        <v/>
      </c>
      <c r="F81" s="13" t="inlineStr">
        <is>
          <t>Seeded from the shape of real RIA operations work. The minutes are not measured.</t>
        </is>
      </c>
      <c r="G81" s="13" t="inlineStr">
        <is>
          <t>Me, with a stopwatch. Three runs, median, interruptions included.</t>
        </is>
      </c>
      <c r="H81" s="23" t="inlineStr">
        <is>
          <t>never</t>
        </is>
      </c>
    </row>
    <row r="82">
      <c r="A82" s="12" t="inlineStr">
        <is>
          <t>T-30</t>
        </is>
      </c>
      <c r="B82" s="24">
        <f>Tasks!B31&amp;IF(SUM(Tasks!F31:I31)=4,""," (selected tiers)")</f>
        <v/>
      </c>
      <c r="C82" s="28">
        <f>TEXT(Tasks!D31,"#,##0")&amp;" min x "&amp;TEXT(Tasks!E31,"0.00")&amp;"/yr · "&amp;Tasks!C31&amp;" · "&amp;Tasks!J31</f>
        <v/>
      </c>
      <c r="D82" s="12" t="inlineStr">
        <is>
          <t>minutes</t>
        </is>
      </c>
      <c r="E82" s="28">
        <f>Tasks!L31</f>
        <v/>
      </c>
      <c r="F82" s="13" t="inlineStr">
        <is>
          <t>Seeded from the shape of real RIA operations work. The minutes are not measured.</t>
        </is>
      </c>
      <c r="G82" s="13" t="inlineStr">
        <is>
          <t>Me, with a stopwatch. Three runs, median, interruptions included.</t>
        </is>
      </c>
      <c r="H82" s="23" t="inlineStr">
        <is>
          <t>never</t>
        </is>
      </c>
    </row>
    <row r="83">
      <c r="A83" s="12" t="inlineStr">
        <is>
          <t>T-31</t>
        </is>
      </c>
      <c r="B83" s="24">
        <f>Tasks!B32&amp;IF(SUM(Tasks!F32:I32)=4,""," (selected tiers)")</f>
        <v/>
      </c>
      <c r="C83" s="28">
        <f>TEXT(Tasks!D32,"#,##0")&amp;" min x "&amp;TEXT(Tasks!E32,"0.00")&amp;"/yr · "&amp;Tasks!C32&amp;" · "&amp;Tasks!J32</f>
        <v/>
      </c>
      <c r="D83" s="12" t="inlineStr">
        <is>
          <t>minutes</t>
        </is>
      </c>
      <c r="E83" s="28">
        <f>Tasks!L32</f>
        <v/>
      </c>
      <c r="F83" s="13" t="inlineStr">
        <is>
          <t>Seeded from the shape of real RIA operations work. The minutes are not measured.</t>
        </is>
      </c>
      <c r="G83" s="13" t="inlineStr">
        <is>
          <t>Me, with a stopwatch. Three runs, median, interruptions included.</t>
        </is>
      </c>
      <c r="H83" s="23" t="inlineStr">
        <is>
          <t>never</t>
        </is>
      </c>
    </row>
    <row r="84">
      <c r="A84" s="12" t="inlineStr">
        <is>
          <t>T-32</t>
        </is>
      </c>
      <c r="B84" s="24">
        <f>Tasks!B33&amp;IF(SUM(Tasks!F33:I33)=4,""," (selected tiers)")</f>
        <v/>
      </c>
      <c r="C84" s="28">
        <f>TEXT(Tasks!D33,"#,##0")&amp;" min x "&amp;TEXT(Tasks!E33,"0.00")&amp;"/yr · "&amp;Tasks!C33&amp;" · "&amp;Tasks!J33</f>
        <v/>
      </c>
      <c r="D84" s="12" t="inlineStr">
        <is>
          <t>minutes</t>
        </is>
      </c>
      <c r="E84" s="28">
        <f>Tasks!L33</f>
        <v/>
      </c>
      <c r="F84" s="13" t="inlineStr">
        <is>
          <t>Seeded from the shape of real RIA operations work. The minutes are not measured.</t>
        </is>
      </c>
      <c r="G84" s="13" t="inlineStr">
        <is>
          <t>Me, with a stopwatch. Three runs, median, interruptions included.</t>
        </is>
      </c>
      <c r="H84" s="23" t="inlineStr">
        <is>
          <t>never</t>
        </is>
      </c>
    </row>
    <row r="85">
      <c r="A85" s="12" t="inlineStr">
        <is>
          <t>T-33</t>
        </is>
      </c>
      <c r="B85" s="24">
        <f>Tasks!B34&amp;IF(SUM(Tasks!F34:I34)=4,""," (selected tiers)")</f>
        <v/>
      </c>
      <c r="C85" s="28">
        <f>TEXT(Tasks!D34,"#,##0")&amp;" min x "&amp;TEXT(Tasks!E34,"0.00")&amp;"/yr · "&amp;Tasks!C34&amp;" · "&amp;Tasks!J34</f>
        <v/>
      </c>
      <c r="D85" s="12" t="inlineStr">
        <is>
          <t>minutes</t>
        </is>
      </c>
      <c r="E85" s="28">
        <f>Tasks!L34</f>
        <v/>
      </c>
      <c r="F85" s="13" t="inlineStr">
        <is>
          <t>Seeded from the shape of real RIA operations work. The minutes are not measured.</t>
        </is>
      </c>
      <c r="G85" s="13" t="inlineStr">
        <is>
          <t>Me, with a stopwatch. Three runs, median, interruptions included.</t>
        </is>
      </c>
      <c r="H85" s="23" t="inlineStr">
        <is>
          <t>never</t>
        </is>
      </c>
    </row>
    <row r="86">
      <c r="A86" s="12" t="inlineStr">
        <is>
          <t>T-34</t>
        </is>
      </c>
      <c r="B86" s="24">
        <f>Tasks!B35&amp;IF(SUM(Tasks!F35:I35)=4,""," (selected tiers)")</f>
        <v/>
      </c>
      <c r="C86" s="28">
        <f>TEXT(Tasks!D35,"#,##0")&amp;" min x "&amp;TEXT(Tasks!E35,"0.00")&amp;"/yr · "&amp;Tasks!C35&amp;" · "&amp;Tasks!J35</f>
        <v/>
      </c>
      <c r="D86" s="12" t="inlineStr">
        <is>
          <t>minutes</t>
        </is>
      </c>
      <c r="E86" s="28">
        <f>Tasks!L35</f>
        <v/>
      </c>
      <c r="F86" s="13" t="inlineStr">
        <is>
          <t>Seeded from the shape of real RIA operations work. The minutes are not measured.</t>
        </is>
      </c>
      <c r="G86" s="13" t="inlineStr">
        <is>
          <t>Me, with a stopwatch. Three runs, median, interruptions included.</t>
        </is>
      </c>
      <c r="H86" s="23" t="inlineStr">
        <is>
          <t>never</t>
        </is>
      </c>
    </row>
    <row r="87">
      <c r="A87" s="12" t="inlineStr">
        <is>
          <t>T-35</t>
        </is>
      </c>
      <c r="B87" s="24">
        <f>Tasks!B36&amp;IF(SUM(Tasks!F36:I36)=4,""," (selected tiers)")</f>
        <v/>
      </c>
      <c r="C87" s="28">
        <f>TEXT(Tasks!D36,"#,##0")&amp;" min x "&amp;TEXT(Tasks!E36,"0.00")&amp;"/yr · "&amp;Tasks!C36&amp;" · "&amp;Tasks!J36</f>
        <v/>
      </c>
      <c r="D87" s="12" t="inlineStr">
        <is>
          <t>minutes</t>
        </is>
      </c>
      <c r="E87" s="28">
        <f>Tasks!L36</f>
        <v/>
      </c>
      <c r="F87" s="13" t="inlineStr">
        <is>
          <t>Seeded from the shape of real RIA operations work. The minutes are not measured.</t>
        </is>
      </c>
      <c r="G87" s="13" t="inlineStr">
        <is>
          <t>Me, with a stopwatch. Three runs, median, interruptions included.</t>
        </is>
      </c>
      <c r="H87" s="23" t="inlineStr">
        <is>
          <t>never</t>
        </is>
      </c>
    </row>
    <row r="88">
      <c r="A88" s="12" t="inlineStr">
        <is>
          <t>T-36</t>
        </is>
      </c>
      <c r="B88" s="24">
        <f>Tasks!B37&amp;IF(SUM(Tasks!F37:I37)=4,""," (selected tiers)")</f>
        <v/>
      </c>
      <c r="C88" s="28">
        <f>TEXT(Tasks!D37,"#,##0")&amp;" min x "&amp;TEXT(Tasks!E37,"0.00")&amp;"/yr · "&amp;Tasks!C37&amp;" · "&amp;Tasks!J37</f>
        <v/>
      </c>
      <c r="D88" s="12" t="inlineStr">
        <is>
          <t>minutes</t>
        </is>
      </c>
      <c r="E88" s="28">
        <f>Tasks!L37</f>
        <v/>
      </c>
      <c r="F88" s="13" t="inlineStr">
        <is>
          <t>Seeded from the shape of real RIA operations work. The minutes are not measured.</t>
        </is>
      </c>
      <c r="G88" s="13" t="inlineStr">
        <is>
          <t>Me, with a stopwatch. Three runs, median, interruptions included.</t>
        </is>
      </c>
      <c r="H88" s="23" t="inlineStr">
        <is>
          <t>never</t>
        </is>
      </c>
    </row>
    <row r="89">
      <c r="A89" s="12" t="inlineStr">
        <is>
          <t>T-37</t>
        </is>
      </c>
      <c r="B89" s="24">
        <f>Tasks!B38&amp;IF(SUM(Tasks!F38:I38)=4,""," (selected tiers)")</f>
        <v/>
      </c>
      <c r="C89" s="28">
        <f>TEXT(Tasks!D38,"#,##0")&amp;" min x "&amp;TEXT(Tasks!E38,"0.00")&amp;"/yr · "&amp;Tasks!C38&amp;" · "&amp;Tasks!J38</f>
        <v/>
      </c>
      <c r="D89" s="12" t="inlineStr">
        <is>
          <t>minutes</t>
        </is>
      </c>
      <c r="E89" s="28">
        <f>Tasks!L38</f>
        <v/>
      </c>
      <c r="F89" s="13" t="inlineStr">
        <is>
          <t>Seeded from the shape of real RIA operations work. The minutes are not measured.</t>
        </is>
      </c>
      <c r="G89" s="13" t="inlineStr">
        <is>
          <t>Me, with a stopwatch. Three runs, median, interruptions included.</t>
        </is>
      </c>
      <c r="H89" s="23" t="inlineStr">
        <is>
          <t>never</t>
        </is>
      </c>
    </row>
    <row r="90">
      <c r="A90" s="12" t="inlineStr">
        <is>
          <t>T-38</t>
        </is>
      </c>
      <c r="B90" s="24">
        <f>Tasks!B39&amp;IF(SUM(Tasks!F39:I39)=4,""," (selected tiers)")</f>
        <v/>
      </c>
      <c r="C90" s="28">
        <f>TEXT(Tasks!D39,"#,##0")&amp;" min x "&amp;TEXT(Tasks!E39,"0.00")&amp;"/yr · "&amp;Tasks!C39&amp;" · "&amp;Tasks!J39</f>
        <v/>
      </c>
      <c r="D90" s="12" t="inlineStr">
        <is>
          <t>minutes</t>
        </is>
      </c>
      <c r="E90" s="28">
        <f>Tasks!L39</f>
        <v/>
      </c>
      <c r="F90" s="13" t="inlineStr">
        <is>
          <t>Seeded from the shape of real RIA operations work. The minutes are not measured.</t>
        </is>
      </c>
      <c r="G90" s="13" t="inlineStr">
        <is>
          <t>Me, with a stopwatch. Three runs, median, interruptions included.</t>
        </is>
      </c>
      <c r="H90" s="23" t="inlineStr">
        <is>
          <t>never</t>
        </is>
      </c>
    </row>
    <row r="91">
      <c r="A91" s="12" t="inlineStr">
        <is>
          <t>T-39</t>
        </is>
      </c>
      <c r="B91" s="24">
        <f>Tasks!B40&amp;IF(SUM(Tasks!F40:I40)=4,""," (selected tiers)")</f>
        <v/>
      </c>
      <c r="C91" s="28">
        <f>TEXT(Tasks!D40,"#,##0")&amp;" min x "&amp;TEXT(Tasks!E40,"0.00")&amp;"/yr · "&amp;Tasks!C40&amp;" · "&amp;Tasks!J40</f>
        <v/>
      </c>
      <c r="D91" s="12" t="inlineStr">
        <is>
          <t>minutes</t>
        </is>
      </c>
      <c r="E91" s="28">
        <f>Tasks!L40</f>
        <v/>
      </c>
      <c r="F91" s="13" t="inlineStr">
        <is>
          <t>Seeded from the shape of real RIA operations work. The minutes are not measured.</t>
        </is>
      </c>
      <c r="G91" s="13" t="inlineStr">
        <is>
          <t>Me, with a stopwatch. Three runs, median, interruptions included.</t>
        </is>
      </c>
      <c r="H91" s="23" t="inlineStr">
        <is>
          <t>never</t>
        </is>
      </c>
    </row>
    <row r="92">
      <c r="A92" s="12" t="inlineStr">
        <is>
          <t>T-40</t>
        </is>
      </c>
      <c r="B92" s="24">
        <f>Tasks!B41&amp;IF(SUM(Tasks!F41:I41)=4,""," (selected tiers)")</f>
        <v/>
      </c>
      <c r="C92" s="28">
        <f>TEXT(Tasks!D41,"#,##0")&amp;" min x "&amp;TEXT(Tasks!E41,"0.00")&amp;"/yr · "&amp;Tasks!C41&amp;" · "&amp;Tasks!J41</f>
        <v/>
      </c>
      <c r="D92" s="12" t="inlineStr">
        <is>
          <t>minutes</t>
        </is>
      </c>
      <c r="E92" s="28">
        <f>Tasks!L41</f>
        <v/>
      </c>
      <c r="F92" s="13" t="inlineStr">
        <is>
          <t>Seeded from the shape of real RIA operations work. The minutes are not measured.</t>
        </is>
      </c>
      <c r="G92" s="13" t="inlineStr">
        <is>
          <t>Me, with a stopwatch. Three runs, median, interruptions included.</t>
        </is>
      </c>
      <c r="H92" s="23" t="inlineStr">
        <is>
          <t>never</t>
        </is>
      </c>
    </row>
    <row r="93">
      <c r="A93" s="12" t="inlineStr">
        <is>
          <t>T-41</t>
        </is>
      </c>
      <c r="B93" s="24">
        <f>Tasks!B42&amp;IF(SUM(Tasks!F42:I42)=4,""," (selected tiers)")</f>
        <v/>
      </c>
      <c r="C93" s="28">
        <f>TEXT(Tasks!D42,"#,##0")&amp;" min x "&amp;TEXT(Tasks!E42,"0.00")&amp;"/yr · "&amp;Tasks!C42&amp;" · "&amp;Tasks!J42</f>
        <v/>
      </c>
      <c r="D93" s="12" t="inlineStr">
        <is>
          <t>minutes</t>
        </is>
      </c>
      <c r="E93" s="28">
        <f>Tasks!L42</f>
        <v/>
      </c>
      <c r="F93" s="13" t="inlineStr">
        <is>
          <t>Seeded from the shape of real RIA operations work. The minutes are not measured.</t>
        </is>
      </c>
      <c r="G93" s="13" t="inlineStr">
        <is>
          <t>Me, with a stopwatch. Three runs, median, interruptions included.</t>
        </is>
      </c>
      <c r="H93" s="23" t="inlineStr">
        <is>
          <t>never</t>
        </is>
      </c>
    </row>
    <row r="95">
      <c r="B95" s="10" t="inlineStr">
        <is>
          <t>Inputs in the ledger</t>
        </is>
      </c>
      <c r="C95" s="29">
        <f>COUNTA(B16:B93)</f>
        <v/>
      </c>
    </row>
    <row r="96">
      <c r="B96" s="7" t="inlineStr">
        <is>
          <t xml:space="preserve">  of which measured</t>
        </is>
      </c>
      <c r="C96" s="30">
        <f>COUNTIF(E16:E93,"MEASURED")</f>
        <v/>
      </c>
    </row>
    <row r="97">
      <c r="B97" s="7" t="inlineStr">
        <is>
          <t xml:space="preserve">  of which observed</t>
        </is>
      </c>
      <c r="C97" s="30">
        <f>COUNTIF(E16:E93,"OBSERVED")</f>
        <v/>
      </c>
    </row>
    <row r="98">
      <c r="B98" s="7" t="inlineStr">
        <is>
          <t xml:space="preserve">  of which benchmark</t>
        </is>
      </c>
      <c r="C98" s="30">
        <f>COUNTIF(E16:E93,"BENCHMARK")</f>
        <v/>
      </c>
    </row>
    <row r="99">
      <c r="B99" s="7" t="inlineStr">
        <is>
          <t xml:space="preserve">  of which estimated</t>
        </is>
      </c>
      <c r="C99" s="30">
        <f>COUNTIF(E16:E93,"ESTIMATED")</f>
        <v/>
      </c>
    </row>
    <row r="100">
      <c r="B100" s="7" t="inlineStr">
        <is>
          <t xml:space="preserve">  of which placeholder</t>
        </is>
      </c>
      <c r="C100" s="31">
        <f>COUNTIF(E16:E93,"PLACEHOLDER")</f>
        <v/>
      </c>
    </row>
  </sheetData>
  <dataValidations count="2">
    <dataValidation sqref="C5" showDropDown="0" showInputMessage="0" showErrorMessage="0" allowBlank="0" errorTitle="Scenario" error="Scenario must be 1, 2 or 3." type="whole" operator="between">
      <formula1>1</formula1>
      <formula2>3</formula2>
    </dataValidation>
    <dataValidation sqref="E16 E17 E18 E19 E20 E21 E22 E23 E24 E25 E26 E27 E28 E29 E30 E31 E32 E33 E34 E35 E36 E37 E38 E39 E40 E41 E42 E43 E44 E45 E46 E47 E48 E49 E50 E51 E52" showDropDown="0" showInputMessage="0" showErrorMessage="0" allowBlank="0" errorTitle="Provenance required" error="Provenance cannot be blank. Pick one of the five tags." type="list">
      <formula1>"MEASURED,OBSERVED,BENCHMARK,ESTIMATED,PLACEHOLDER"</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P12"/>
  <sheetViews>
    <sheetView showGridLines="0" workbookViewId="0">
      <pane ySplit="1" topLeftCell="A2" activePane="bottomLeft" state="frozen"/>
      <selection pane="bottomLeft" activeCell="A1" sqref="A1"/>
    </sheetView>
  </sheetViews>
  <sheetFormatPr baseColWidth="8" defaultRowHeight="15"/>
  <cols>
    <col width="8" customWidth="1" min="1" max="1"/>
    <col width="30" customWidth="1" min="2" max="2"/>
    <col width="8" customWidth="1" min="3" max="3"/>
    <col width="9" customWidth="1" min="4" max="4"/>
    <col width="11" customWidth="1" min="5" max="5"/>
    <col width="11" customWidth="1" min="6" max="6"/>
    <col width="14" customWidth="1" min="7" max="7"/>
    <col width="13" customWidth="1" min="8" max="8"/>
    <col width="11" customWidth="1" min="9" max="9"/>
    <col width="12" customWidth="1" min="10" max="10"/>
    <col width="8" customWidth="1" min="11" max="11"/>
    <col width="15" customWidth="1" min="12" max="12"/>
    <col width="14" customWidth="1" min="13" max="13"/>
    <col width="13" customWidth="1" min="14" max="14"/>
    <col width="13" customWidth="1" min="15" max="15"/>
    <col width="14" customWidth="1" min="16" max="16"/>
  </cols>
  <sheetData>
    <row r="1">
      <c r="A1" s="6" t="inlineStr">
        <is>
          <t>Role</t>
        </is>
      </c>
      <c r="B1" s="6" t="inlineStr">
        <is>
          <t>Label</t>
        </is>
      </c>
      <c r="C1" s="6" t="inlineStr">
        <is>
          <t>FTE</t>
        </is>
      </c>
      <c r="D1" s="6" t="inlineStr">
        <is>
          <t>Advisor?</t>
        </is>
      </c>
      <c r="E1" s="6" t="inlineStr">
        <is>
          <t>Operations?</t>
        </is>
      </c>
      <c r="F1" s="6" t="inlineStr">
        <is>
          <t>Ops share</t>
        </is>
      </c>
      <c r="G1" s="6" t="inlineStr">
        <is>
          <t>Compensation</t>
        </is>
      </c>
      <c r="H1" s="6" t="inlineStr">
        <is>
          <t>Comp tag</t>
        </is>
      </c>
      <c r="I1" s="6" t="inlineStr">
        <is>
          <t>Contractor?</t>
        </is>
      </c>
      <c r="J1" s="6" t="inlineStr">
        <is>
          <t>End date</t>
        </is>
      </c>
      <c r="K1" s="6" t="inlineStr">
        <is>
          <t>Active</t>
        </is>
      </c>
      <c r="L1" s="6" t="inlineStr">
        <is>
          <t>Effective ops share</t>
        </is>
      </c>
      <c r="M1" s="6" t="inlineStr">
        <is>
          <t>Effective comp</t>
        </is>
      </c>
      <c r="N1" s="6" t="inlineStr">
        <is>
          <t>Loaded cost</t>
        </is>
      </c>
      <c r="O1" s="6" t="inlineStr">
        <is>
          <t>Loaded $/hour</t>
        </is>
      </c>
      <c r="P1" s="6" t="inlineStr">
        <is>
          <t>Ops hours available</t>
        </is>
      </c>
    </row>
    <row r="2">
      <c r="A2" s="7" t="inlineStr">
        <is>
          <t>R1</t>
        </is>
      </c>
      <c r="B2" s="24">
        <f>IF(Anonymise=1,INDEX(Label_Anon,MATCH("R1",Label_Key,0)),INDEX(Label_Real,MATCH("R1",Label_Key,0)))</f>
        <v/>
      </c>
      <c r="C2" s="32" t="n">
        <v>1</v>
      </c>
      <c r="D2" s="21" t="n">
        <v>1</v>
      </c>
      <c r="E2" s="21" t="n">
        <v>0</v>
      </c>
      <c r="F2" s="20" t="n">
        <v>0</v>
      </c>
      <c r="G2" s="22" t="n">
        <v>250000</v>
      </c>
      <c r="H2" s="23" t="inlineStr">
        <is>
          <t>PLACEHOLDER</t>
        </is>
      </c>
      <c r="I2" s="21" t="n">
        <v>0</v>
      </c>
      <c r="J2" s="8" t="inlineStr"/>
      <c r="K2" s="30">
        <f>IF(A2="R7",Consultant_Present,1)</f>
        <v/>
      </c>
      <c r="L2" s="33">
        <f>IF(AND(A2="R4",Resp_Internal=1),Seat_Ops_Alloc,F2)</f>
        <v/>
      </c>
      <c r="M2" s="34">
        <f>IF(AND(A2="R4",Resp_Internal=1),Ops_Seat_Comp,G2)</f>
        <v/>
      </c>
      <c r="N2" s="34">
        <f>M2*(1+IF(I2=1,0,Benefits_Load))</f>
        <v/>
      </c>
      <c r="O2" s="35">
        <f>IF(C2*Productive_Hours=0,0,N2/(C2*Productive_Hours))</f>
        <v/>
      </c>
      <c r="P2" s="36">
        <f>K2*E2*C2*L2*Productive_Hours</f>
        <v/>
      </c>
    </row>
    <row r="3">
      <c r="A3" s="7" t="inlineStr">
        <is>
          <t>R2</t>
        </is>
      </c>
      <c r="B3" s="24">
        <f>IF(Anonymise=1,INDEX(Label_Anon,MATCH("R2",Label_Key,0)),INDEX(Label_Real,MATCH("R2",Label_Key,0)))</f>
        <v/>
      </c>
      <c r="C3" s="32" t="n">
        <v>1</v>
      </c>
      <c r="D3" s="21" t="n">
        <v>1</v>
      </c>
      <c r="E3" s="21" t="n">
        <v>0</v>
      </c>
      <c r="F3" s="20" t="n">
        <v>0</v>
      </c>
      <c r="G3" s="22" t="n">
        <v>165000</v>
      </c>
      <c r="H3" s="23" t="inlineStr">
        <is>
          <t>PLACEHOLDER</t>
        </is>
      </c>
      <c r="I3" s="21" t="n">
        <v>0</v>
      </c>
      <c r="J3" s="8" t="inlineStr"/>
      <c r="K3" s="30">
        <f>IF(A3="R7",Consultant_Present,1)</f>
        <v/>
      </c>
      <c r="L3" s="33">
        <f>IF(AND(A3="R4",Resp_Internal=1),Seat_Ops_Alloc,F3)</f>
        <v/>
      </c>
      <c r="M3" s="34">
        <f>IF(AND(A3="R4",Resp_Internal=1),Ops_Seat_Comp,G3)</f>
        <v/>
      </c>
      <c r="N3" s="34">
        <f>M3*(1+IF(I3=1,0,Benefits_Load))</f>
        <v/>
      </c>
      <c r="O3" s="35">
        <f>IF(C3*Productive_Hours=0,0,N3/(C3*Productive_Hours))</f>
        <v/>
      </c>
      <c r="P3" s="36">
        <f>K3*E3*C3*L3*Productive_Hours</f>
        <v/>
      </c>
    </row>
    <row r="4">
      <c r="A4" s="7" t="inlineStr">
        <is>
          <t>R3</t>
        </is>
      </c>
      <c r="B4" s="24">
        <f>IF(Anonymise=1,INDEX(Label_Anon,MATCH("R3",Label_Key,0)),INDEX(Label_Real,MATCH("R3",Label_Key,0)))</f>
        <v/>
      </c>
      <c r="C4" s="32" t="n">
        <v>1</v>
      </c>
      <c r="D4" s="21" t="n">
        <v>1</v>
      </c>
      <c r="E4" s="21" t="n">
        <v>0</v>
      </c>
      <c r="F4" s="20" t="n">
        <v>0</v>
      </c>
      <c r="G4" s="22" t="n">
        <v>140000</v>
      </c>
      <c r="H4" s="23" t="inlineStr">
        <is>
          <t>PLACEHOLDER</t>
        </is>
      </c>
      <c r="I4" s="21" t="n">
        <v>0</v>
      </c>
      <c r="J4" s="8" t="inlineStr"/>
      <c r="K4" s="30">
        <f>IF(A4="R7",Consultant_Present,1)</f>
        <v/>
      </c>
      <c r="L4" s="33">
        <f>IF(AND(A4="R4",Resp_Internal=1),Seat_Ops_Alloc,F4)</f>
        <v/>
      </c>
      <c r="M4" s="34">
        <f>IF(AND(A4="R4",Resp_Internal=1),Ops_Seat_Comp,G4)</f>
        <v/>
      </c>
      <c r="N4" s="34">
        <f>M4*(1+IF(I4=1,0,Benefits_Load))</f>
        <v/>
      </c>
      <c r="O4" s="35">
        <f>IF(C4*Productive_Hours=0,0,N4/(C4*Productive_Hours))</f>
        <v/>
      </c>
      <c r="P4" s="36">
        <f>K4*E4*C4*L4*Productive_Hours</f>
        <v/>
      </c>
    </row>
    <row r="5">
      <c r="A5" s="7" t="inlineStr">
        <is>
          <t>R4</t>
        </is>
      </c>
      <c r="B5" s="24">
        <f>IF(Anonymise=1,INDEX(Label_Anon,MATCH("R4",Label_Key,0)),INDEX(Label_Real,MATCH("R4",Label_Key,0)))</f>
        <v/>
      </c>
      <c r="C5" s="32" t="n">
        <v>1</v>
      </c>
      <c r="D5" s="21" t="n">
        <v>0</v>
      </c>
      <c r="E5" s="21" t="n">
        <v>1</v>
      </c>
      <c r="F5" s="20" t="n">
        <v>0.35</v>
      </c>
      <c r="G5" s="37" t="n">
        <v>72000</v>
      </c>
      <c r="H5" s="7" t="inlineStr">
        <is>
          <t>OBSERVED</t>
        </is>
      </c>
      <c r="I5" s="21" t="n">
        <v>0</v>
      </c>
      <c r="J5" s="8" t="inlineStr"/>
      <c r="K5" s="30">
        <f>IF(A5="R7",Consultant_Present,1)</f>
        <v/>
      </c>
      <c r="L5" s="33">
        <f>IF(AND(A5="R4",Resp_Internal=1),Seat_Ops_Alloc,F5)</f>
        <v/>
      </c>
      <c r="M5" s="34">
        <f>IF(AND(A5="R4",Resp_Internal=1),Ops_Seat_Comp,G5)</f>
        <v/>
      </c>
      <c r="N5" s="34">
        <f>M5*(1+IF(I5=1,0,Benefits_Load))</f>
        <v/>
      </c>
      <c r="O5" s="35">
        <f>IF(C5*Productive_Hours=0,0,N5/(C5*Productive_Hours))</f>
        <v/>
      </c>
      <c r="P5" s="36">
        <f>K5*E5*C5*L5*Productive_Hours</f>
        <v/>
      </c>
    </row>
    <row r="6">
      <c r="A6" s="7" t="inlineStr">
        <is>
          <t>R5</t>
        </is>
      </c>
      <c r="B6" s="24">
        <f>IF(Anonymise=1,INDEX(Label_Anon,MATCH("R5",Label_Key,0)),INDEX(Label_Real,MATCH("R5",Label_Key,0)))</f>
        <v/>
      </c>
      <c r="C6" s="32" t="n">
        <v>1</v>
      </c>
      <c r="D6" s="21" t="n">
        <v>0</v>
      </c>
      <c r="E6" s="21" t="n">
        <v>1</v>
      </c>
      <c r="F6" s="20" t="n">
        <v>0.9</v>
      </c>
      <c r="G6" s="22" t="n">
        <v>58000</v>
      </c>
      <c r="H6" s="23" t="inlineStr">
        <is>
          <t>PLACEHOLDER</t>
        </is>
      </c>
      <c r="I6" s="21" t="n">
        <v>0</v>
      </c>
      <c r="J6" s="8" t="inlineStr"/>
      <c r="K6" s="30">
        <f>IF(A6="R7",Consultant_Present,1)</f>
        <v/>
      </c>
      <c r="L6" s="33">
        <f>IF(AND(A6="R4",Resp_Internal=1),Seat_Ops_Alloc,F6)</f>
        <v/>
      </c>
      <c r="M6" s="34">
        <f>IF(AND(A6="R4",Resp_Internal=1),Ops_Seat_Comp,G6)</f>
        <v/>
      </c>
      <c r="N6" s="34">
        <f>M6*(1+IF(I6=1,0,Benefits_Load))</f>
        <v/>
      </c>
      <c r="O6" s="35">
        <f>IF(C6*Productive_Hours=0,0,N6/(C6*Productive_Hours))</f>
        <v/>
      </c>
      <c r="P6" s="36">
        <f>K6*E6*C6*L6*Productive_Hours</f>
        <v/>
      </c>
    </row>
    <row r="7">
      <c r="A7" s="7" t="inlineStr">
        <is>
          <t>R6</t>
        </is>
      </c>
      <c r="B7" s="24">
        <f>IF(Anonymise=1,INDEX(Label_Anon,MATCH("R6",Label_Key,0)),INDEX(Label_Real,MATCH("R6",Label_Key,0)))</f>
        <v/>
      </c>
      <c r="C7" s="32" t="n">
        <v>1</v>
      </c>
      <c r="D7" s="21" t="n">
        <v>0</v>
      </c>
      <c r="E7" s="21" t="n">
        <v>1</v>
      </c>
      <c r="F7" s="20" t="n">
        <v>0.5</v>
      </c>
      <c r="G7" s="22" t="n">
        <v>68000</v>
      </c>
      <c r="H7" s="23" t="inlineStr">
        <is>
          <t>PLACEHOLDER</t>
        </is>
      </c>
      <c r="I7" s="21" t="n">
        <v>0</v>
      </c>
      <c r="J7" s="8" t="inlineStr"/>
      <c r="K7" s="30">
        <f>IF(A7="R7",Consultant_Present,1)</f>
        <v/>
      </c>
      <c r="L7" s="33">
        <f>IF(AND(A7="R4",Resp_Internal=1),Seat_Ops_Alloc,F7)</f>
        <v/>
      </c>
      <c r="M7" s="34">
        <f>IF(AND(A7="R4",Resp_Internal=1),Ops_Seat_Comp,G7)</f>
        <v/>
      </c>
      <c r="N7" s="34">
        <f>M7*(1+IF(I7=1,0,Benefits_Load))</f>
        <v/>
      </c>
      <c r="O7" s="35">
        <f>IF(C7*Productive_Hours=0,0,N7/(C7*Productive_Hours))</f>
        <v/>
      </c>
      <c r="P7" s="36">
        <f>K7*E7*C7*L7*Productive_Hours</f>
        <v/>
      </c>
    </row>
    <row r="8">
      <c r="A8" s="7" t="inlineStr">
        <is>
          <t>R7</t>
        </is>
      </c>
      <c r="B8" s="24">
        <f>IF(Anonymise=1,INDEX(Label_Anon,MATCH("R7",Label_Key,0)),INDEX(Label_Real,MATCH("R7",Label_Key,0)))</f>
        <v/>
      </c>
      <c r="C8" s="32" t="n">
        <v>0.38</v>
      </c>
      <c r="D8" s="21" t="n">
        <v>0</v>
      </c>
      <c r="E8" s="21" t="n">
        <v>1</v>
      </c>
      <c r="F8" s="20" t="n">
        <v>1</v>
      </c>
      <c r="G8" s="22" t="n">
        <v>78000</v>
      </c>
      <c r="H8" s="23" t="inlineStr">
        <is>
          <t>PLACEHOLDER</t>
        </is>
      </c>
      <c r="I8" s="21" t="n">
        <v>1</v>
      </c>
      <c r="J8" s="8" t="inlineStr">
        <is>
          <t>2026-12-14</t>
        </is>
      </c>
      <c r="K8" s="30">
        <f>IF(A8="R7",Consultant_Present,1)</f>
        <v/>
      </c>
      <c r="L8" s="33">
        <f>IF(AND(A8="R4",Resp_Internal=1),Seat_Ops_Alloc,F8)</f>
        <v/>
      </c>
      <c r="M8" s="34">
        <f>IF(AND(A8="R4",Resp_Internal=1),Ops_Seat_Comp,G8)</f>
        <v/>
      </c>
      <c r="N8" s="34">
        <f>M8*(1+IF(I8=1,0,Benefits_Load))</f>
        <v/>
      </c>
      <c r="O8" s="35">
        <f>IF(C8*Productive_Hours=0,0,N8/(C8*Productive_Hours))</f>
        <v/>
      </c>
      <c r="P8" s="36">
        <f>K8*E8*C8*L8*Productive_Hours</f>
        <v/>
      </c>
    </row>
    <row r="10">
      <c r="B10" s="10" t="inlineStr">
        <is>
          <t>Total FTE</t>
        </is>
      </c>
      <c r="C10" s="38">
        <f>SUMPRODUCT(K2:K8,C2:C8)</f>
        <v/>
      </c>
      <c r="O10" s="10" t="inlineStr">
        <is>
          <t>Operations hours available</t>
        </is>
      </c>
      <c r="P10" s="39">
        <f>SUM(P2:P8)+Extra_Ops_Fte*Productive_Hours</f>
        <v/>
      </c>
    </row>
    <row r="12">
      <c r="B12" s="13" t="inlineStr">
        <is>
          <t>Loaded $/hour divides by the role's OWN hours (FTE x productive hours), so a fractional role is not costed as though it were full time. Contractors carry no benefits load.</t>
        </is>
      </c>
    </row>
  </sheetData>
  <dataValidations count="1">
    <dataValidation sqref="H2 H3 H4 H5 H6 H7 H8" showDropDown="0" showInputMessage="0" showErrorMessage="0" allowBlank="0" errorTitle="Provenance required" error="Provenance cannot be blank." type="list">
      <formula1>"MEASURED,OBSERVED,BENCHMARK,ESTIMATED,PLACEHOLDER"</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9"/>
  <sheetViews>
    <sheetView showGridLines="0" workbookViewId="0">
      <pane ySplit="1" topLeftCell="A2" activePane="bottomLeft" state="frozen"/>
      <selection pane="bottomLeft" activeCell="A1" sqref="A1"/>
    </sheetView>
  </sheetViews>
  <sheetFormatPr baseColWidth="8" defaultRowHeight="15"/>
  <cols>
    <col width="7" customWidth="1" min="1" max="1"/>
    <col width="16" customWidth="1" min="2" max="2"/>
    <col width="12" customWidth="1" min="3" max="3"/>
    <col width="14" customWidth="1" min="4" max="4"/>
    <col width="15" customWidth="1" min="5" max="5"/>
    <col width="14" customWidth="1" min="6" max="6"/>
    <col width="14" customWidth="1" min="7" max="7"/>
    <col width="15" customWidth="1" min="8" max="8"/>
    <col width="13" customWidth="1" min="9" max="9"/>
    <col width="14" customWidth="1" min="10" max="10"/>
    <col width="13" customWidth="1" min="11" max="11"/>
    <col width="14" customWidth="1" min="12" max="12"/>
    <col width="15" customWidth="1" min="13" max="13"/>
  </cols>
  <sheetData>
    <row r="1">
      <c r="A1" s="6" t="inlineStr">
        <is>
          <t>Tier</t>
        </is>
      </c>
      <c r="B1" s="6" t="inlineStr">
        <is>
          <t>Label</t>
        </is>
      </c>
      <c r="C1" s="6" t="inlineStr">
        <is>
          <t>Households</t>
        </is>
      </c>
      <c r="D1" s="6" t="inlineStr">
        <is>
          <t>Average AUM</t>
        </is>
      </c>
      <c r="E1" s="6" t="inlineStr">
        <is>
          <t>Accounts per household</t>
        </is>
      </c>
      <c r="F1" s="6" t="inlineStr">
        <is>
          <t>New-business mix</t>
        </is>
      </c>
      <c r="G1" s="6" t="inlineStr">
        <is>
          <t>Tag</t>
        </is>
      </c>
      <c r="H1" s="6" t="inlineStr">
        <is>
          <t>Total AUM</t>
        </is>
      </c>
      <c r="I1" s="6" t="inlineStr">
        <is>
          <t>Accounts in tier</t>
        </is>
      </c>
      <c r="J1" s="6" t="inlineStr">
        <is>
          <t>New households / yr</t>
        </is>
      </c>
      <c r="K1" s="6" t="inlineStr">
        <is>
          <t>Fee per household</t>
        </is>
      </c>
      <c r="L1" s="6" t="inlineStr">
        <is>
          <t>Revenue per household</t>
        </is>
      </c>
      <c r="M1" s="6" t="inlineStr">
        <is>
          <t>Revenue from tier</t>
        </is>
      </c>
    </row>
    <row r="2">
      <c r="A2" s="10" t="inlineStr">
        <is>
          <t>T1</t>
        </is>
      </c>
      <c r="B2" s="7" t="inlineStr">
        <is>
          <t>Under $250k</t>
        </is>
      </c>
      <c r="C2" s="21" t="n">
        <v>38</v>
      </c>
      <c r="D2" s="37" t="n">
        <v>118000</v>
      </c>
      <c r="E2" s="40" t="n">
        <v>1.6</v>
      </c>
      <c r="F2" s="20" t="n">
        <v>0.05</v>
      </c>
      <c r="G2" s="7" t="inlineStr">
        <is>
          <t>OBSERVED</t>
        </is>
      </c>
      <c r="H2" s="34">
        <f>C2*D2</f>
        <v/>
      </c>
      <c r="I2" s="36">
        <f>C2*E2</f>
        <v/>
      </c>
      <c r="J2" s="36">
        <f>Total_HH*Growth_Rate*F2</f>
        <v/>
      </c>
      <c r="K2" s="34">
        <f>SUMPRODUCT((D2&gt;Fee_From)*(D2-Fee_From)*Fee_Delta)</f>
        <v/>
      </c>
      <c r="L2" s="34">
        <f>K2*Fee_Realisation</f>
        <v/>
      </c>
      <c r="M2" s="34">
        <f>C2*L2</f>
        <v/>
      </c>
    </row>
    <row r="3">
      <c r="A3" s="10" t="inlineStr">
        <is>
          <t>T2</t>
        </is>
      </c>
      <c r="B3" s="7" t="inlineStr">
        <is>
          <t>$250k - $1m</t>
        </is>
      </c>
      <c r="C3" s="21" t="n">
        <v>74</v>
      </c>
      <c r="D3" s="37" t="n">
        <v>560000</v>
      </c>
      <c r="E3" s="40" t="n">
        <v>2.4</v>
      </c>
      <c r="F3" s="20" t="n">
        <v>0.25</v>
      </c>
      <c r="G3" s="7" t="inlineStr">
        <is>
          <t>OBSERVED</t>
        </is>
      </c>
      <c r="H3" s="34">
        <f>C3*D3</f>
        <v/>
      </c>
      <c r="I3" s="36">
        <f>C3*E3</f>
        <v/>
      </c>
      <c r="J3" s="36">
        <f>Total_HH*Growth_Rate*F3</f>
        <v/>
      </c>
      <c r="K3" s="34">
        <f>SUMPRODUCT((D3&gt;Fee_From)*(D3-Fee_From)*Fee_Delta)</f>
        <v/>
      </c>
      <c r="L3" s="34">
        <f>K3*Fee_Realisation</f>
        <v/>
      </c>
      <c r="M3" s="34">
        <f>C3*L3</f>
        <v/>
      </c>
    </row>
    <row r="4">
      <c r="A4" s="10" t="inlineStr">
        <is>
          <t>T3</t>
        </is>
      </c>
      <c r="B4" s="7" t="inlineStr">
        <is>
          <t>$1m - $3m</t>
        </is>
      </c>
      <c r="C4" s="21" t="n">
        <v>52</v>
      </c>
      <c r="D4" s="37" t="n">
        <v>1720000</v>
      </c>
      <c r="E4" s="40" t="n">
        <v>3.4</v>
      </c>
      <c r="F4" s="20" t="n">
        <v>0.45</v>
      </c>
      <c r="G4" s="7" t="inlineStr">
        <is>
          <t>OBSERVED</t>
        </is>
      </c>
      <c r="H4" s="34">
        <f>C4*D4</f>
        <v/>
      </c>
      <c r="I4" s="36">
        <f>C4*E4</f>
        <v/>
      </c>
      <c r="J4" s="36">
        <f>Total_HH*Growth_Rate*F4</f>
        <v/>
      </c>
      <c r="K4" s="34">
        <f>SUMPRODUCT((D4&gt;Fee_From)*(D4-Fee_From)*Fee_Delta)</f>
        <v/>
      </c>
      <c r="L4" s="34">
        <f>K4*Fee_Realisation</f>
        <v/>
      </c>
      <c r="M4" s="34">
        <f>C4*L4</f>
        <v/>
      </c>
    </row>
    <row r="5">
      <c r="A5" s="10" t="inlineStr">
        <is>
          <t>T4</t>
        </is>
      </c>
      <c r="B5" s="7" t="inlineStr">
        <is>
          <t>Over $3m</t>
        </is>
      </c>
      <c r="C5" s="21" t="n">
        <v>18</v>
      </c>
      <c r="D5" s="37" t="n">
        <v>5100000</v>
      </c>
      <c r="E5" s="40" t="n">
        <v>4.8</v>
      </c>
      <c r="F5" s="20" t="n">
        <v>0.25</v>
      </c>
      <c r="G5" s="7" t="inlineStr">
        <is>
          <t>OBSERVED</t>
        </is>
      </c>
      <c r="H5" s="34">
        <f>C5*D5</f>
        <v/>
      </c>
      <c r="I5" s="36">
        <f>C5*E5</f>
        <v/>
      </c>
      <c r="J5" s="36">
        <f>Total_HH*Growth_Rate*F5</f>
        <v/>
      </c>
      <c r="K5" s="34">
        <f>SUMPRODUCT((D5&gt;Fee_From)*(D5-Fee_From)*Fee_Delta)</f>
        <v/>
      </c>
      <c r="L5" s="34">
        <f>K5*Fee_Realisation</f>
        <v/>
      </c>
      <c r="M5" s="34">
        <f>C5*L5</f>
        <v/>
      </c>
    </row>
    <row r="6">
      <c r="B6" s="10" t="inlineStr">
        <is>
          <t>Whole book</t>
        </is>
      </c>
      <c r="C6" s="29">
        <f>SUM(C2:C5)</f>
        <v/>
      </c>
      <c r="H6" s="41">
        <f>SUM(H2:H5)</f>
        <v/>
      </c>
      <c r="J6" s="39">
        <f>SUM(J2:J5)</f>
        <v/>
      </c>
      <c r="M6" s="41">
        <f>SUM(M2:M5)</f>
        <v/>
      </c>
    </row>
    <row r="8">
      <c r="B8" s="13" t="inlineStr">
        <is>
          <t>Households and average AUM are the inputs; total AUM is a formula. Never put a single household on this sheet — if a figure would identify one, it is at the wrong grain.</t>
        </is>
      </c>
    </row>
    <row r="9">
      <c r="B9" s="13" t="inlineStr">
        <is>
          <t>New-business mix must sum to 100%.</t>
        </is>
      </c>
      <c r="F9" s="42">
        <f>SUM(F2:F5)</f>
        <v/>
      </c>
    </row>
  </sheetData>
  <dataValidations count="1">
    <dataValidation sqref="G2 G3 G4 G5" showDropDown="0" showInputMessage="0" showErrorMessage="0" allowBlank="0" errorTitle="Provenance required" error="Provenance cannot be blank." type="list">
      <formula1>"MEASURED,OBSERVED,BENCHMARK,ESTIMATED,PLACEHOLDER"</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19"/>
  <sheetViews>
    <sheetView showGridLines="0" workbookViewId="0">
      <pane ySplit="1" topLeftCell="A2" activePane="bottomLeft" state="frozen"/>
      <selection pane="bottomLeft" activeCell="A1" sqref="A1"/>
    </sheetView>
  </sheetViews>
  <sheetFormatPr baseColWidth="8" defaultRowHeight="15"/>
  <cols>
    <col width="26" customWidth="1" min="1" max="1"/>
    <col width="14" customWidth="1" min="2" max="2"/>
    <col width="14" customWidth="1" min="3" max="3"/>
    <col width="14" customWidth="1" min="4" max="4"/>
    <col width="10" customWidth="1" min="5" max="5"/>
    <col width="74" customWidth="1" min="6" max="6"/>
  </cols>
  <sheetData>
    <row r="1">
      <c r="A1" s="6" t="inlineStr">
        <is>
          <t>Band</t>
        </is>
      </c>
      <c r="B1" s="6" t="inlineStr">
        <is>
          <t>From</t>
        </is>
      </c>
      <c r="C1" s="6" t="inlineStr">
        <is>
          <t>To</t>
        </is>
      </c>
      <c r="D1" s="6" t="inlineStr">
        <is>
          <t>Rate</t>
        </is>
      </c>
      <c r="E1" s="6" t="inlineStr">
        <is>
          <t>Rate step (rate less previous rate)</t>
        </is>
      </c>
    </row>
    <row r="2">
      <c r="A2" s="30" t="n">
        <v>1</v>
      </c>
      <c r="B2" s="37" t="n">
        <v>0</v>
      </c>
      <c r="C2" s="37" t="n">
        <v>500000</v>
      </c>
      <c r="D2" s="43" t="n">
        <v>0.01</v>
      </c>
      <c r="E2" s="44">
        <f>D2</f>
        <v/>
      </c>
    </row>
    <row r="3">
      <c r="A3" s="30" t="n">
        <v>2</v>
      </c>
      <c r="B3" s="37" t="n">
        <v>500000</v>
      </c>
      <c r="C3" s="37" t="n">
        <v>1000000</v>
      </c>
      <c r="D3" s="43" t="n">
        <v>0.008500000000000001</v>
      </c>
      <c r="E3" s="44">
        <f>D3-D2</f>
        <v/>
      </c>
    </row>
    <row r="4">
      <c r="A4" s="30" t="n">
        <v>3</v>
      </c>
      <c r="B4" s="37" t="n">
        <v>1000000</v>
      </c>
      <c r="C4" s="37" t="n">
        <v>3000000</v>
      </c>
      <c r="D4" s="43" t="n">
        <v>0.007</v>
      </c>
      <c r="E4" s="44">
        <f>D4-D3</f>
        <v/>
      </c>
    </row>
    <row r="5">
      <c r="A5" s="30" t="n">
        <v>4</v>
      </c>
      <c r="B5" s="37" t="n">
        <v>3000000</v>
      </c>
      <c r="C5" s="37" t="n">
        <v>5000000</v>
      </c>
      <c r="D5" s="43" t="n">
        <v>0.005</v>
      </c>
      <c r="E5" s="44">
        <f>D5-D4</f>
        <v/>
      </c>
    </row>
    <row r="6">
      <c r="A6" s="30" t="n">
        <v>5</v>
      </c>
      <c r="B6" s="37" t="n">
        <v>5000000</v>
      </c>
      <c r="C6" s="37" t="n">
        <v>1000000000000000</v>
      </c>
      <c r="D6" s="43" t="n">
        <v>0.0035</v>
      </c>
      <c r="E6" s="44">
        <f>D6-D5</f>
        <v/>
      </c>
    </row>
    <row r="8">
      <c r="A8" s="10" t="inlineStr">
        <is>
          <t>TIERED / MARGINAL</t>
        </is>
      </c>
      <c r="B8" s="13" t="inlineStr">
        <is>
          <t>TIERED / MARGINAL. Each band is charged at its own rate on the portion of assets falling inside that band. This is NOT a flat rate applied to total assets.</t>
        </is>
      </c>
    </row>
    <row r="9">
      <c r="B9" s="13" t="inlineStr">
        <is>
          <t>The fee is computed as SUMPRODUCT((AUM&gt;Fee_From)*(AUM-Fee_From)*Fee_Delta) — the rate-step form of a marginal schedule. It is mathematically identical to summing each band's own slice, and it survives adding or removing bands.</t>
        </is>
      </c>
    </row>
    <row r="10">
      <c r="B10" s="13" t="inlineStr">
        <is>
          <t>The open top band's To is 1E+15 rather than blank, so the arithmetic has an upper bound.</t>
        </is>
      </c>
    </row>
    <row r="12">
      <c r="A12" s="3" t="inlineStr">
        <is>
          <t>HAND CHECK — three households, worked on paper</t>
        </is>
      </c>
    </row>
    <row r="13">
      <c r="A13" s="13" t="inlineStr">
        <is>
          <t>If any row below says FAIL, the schedule has been broken. The usual cause is turning a tiered schedule into a flat rate by accident.</t>
        </is>
      </c>
    </row>
    <row r="14">
      <c r="A14" s="6" t="inlineStr">
        <is>
          <t>Case</t>
        </is>
      </c>
      <c r="B14" s="6" t="inlineStr">
        <is>
          <t>AUM</t>
        </is>
      </c>
      <c r="C14" s="6" t="inlineStr">
        <is>
          <t>Model says</t>
        </is>
      </c>
      <c r="D14" s="6" t="inlineStr">
        <is>
          <t>Hand-worked</t>
        </is>
      </c>
      <c r="E14" s="6" t="inlineStr">
        <is>
          <t>Check</t>
        </is>
      </c>
      <c r="F14" s="6" t="inlineStr">
        <is>
          <t>The working</t>
        </is>
      </c>
    </row>
    <row r="15" ht="30" customHeight="1">
      <c r="A15" s="19" t="inlineStr">
        <is>
          <t>Below the first breakpoint</t>
        </is>
      </c>
      <c r="B15" s="37" t="n">
        <v>145000</v>
      </c>
      <c r="C15" s="35">
        <f>SUMPRODUCT((B15&gt;Fee_From)*(B15-Fee_From)*Fee_Delta)</f>
        <v/>
      </c>
      <c r="D15" s="35" t="n">
        <v>1450</v>
      </c>
      <c r="E15" s="10">
        <f>IF(ROUND(C15-D15,2)=0,"PASS","FAIL")</f>
        <v/>
      </c>
      <c r="F15" s="13" t="inlineStr">
        <is>
          <t>145,000 x 1.00% = 1,450.00</t>
        </is>
      </c>
    </row>
    <row r="16" ht="30" customHeight="1">
      <c r="A16" s="19" t="inlineStr">
        <is>
          <t>Just above a breakpoint</t>
        </is>
      </c>
      <c r="B16" s="37" t="n">
        <v>520000</v>
      </c>
      <c r="C16" s="35">
        <f>SUMPRODUCT((B16&gt;Fee_From)*(B16-Fee_From)*Fee_Delta)</f>
        <v/>
      </c>
      <c r="D16" s="35" t="n">
        <v>5170</v>
      </c>
      <c r="E16" s="10">
        <f>IF(ROUND(C16-D16,2)=0,"PASS","FAIL")</f>
        <v/>
      </c>
      <c r="F16" s="13" t="inlineStr">
        <is>
          <t>500,000 x 1.00% = 5,000.00  +  20,000 x 0.85% = 170.00  =  5,170.00     (a flat 0.85% on the whole balance would give 4,420.00 — a $750 error, and the commonest mistake in these models)</t>
        </is>
      </c>
    </row>
    <row r="17" ht="30" customHeight="1">
      <c r="A17" s="19" t="inlineStr">
        <is>
          <t>Well above</t>
        </is>
      </c>
      <c r="B17" s="37" t="n">
        <v>5100000</v>
      </c>
      <c r="C17" s="35">
        <f>SUMPRODUCT((B17&gt;Fee_From)*(B17-Fee_From)*Fee_Delta)</f>
        <v/>
      </c>
      <c r="D17" s="35" t="n">
        <v>33600</v>
      </c>
      <c r="E17" s="10">
        <f>IF(ROUND(C17-D17,2)=0,"PASS","FAIL")</f>
        <v/>
      </c>
      <c r="F17" s="13" t="inlineStr">
        <is>
          <t>500,000 x 1.00% = 5,000  +  500,000 x 0.85% = 4,250  +  2,000,000 x 0.70% = 14,000  +  2,000,000 x 0.50% = 10,000  +  100,000 x 0.35% = 350  =  33,600  (effective rate 0.659%)</t>
        </is>
      </c>
    </row>
    <row r="19">
      <c r="A19" s="10" t="inlineStr">
        <is>
          <t>All three pass</t>
        </is>
      </c>
      <c r="E19" s="10">
        <f>IF(COUNTIF(E15:E17,"PASS")=3,"PASS","FAIL")</f>
        <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N46"/>
  <sheetViews>
    <sheetView showGridLines="0" workbookViewId="0">
      <pane ySplit="1" topLeftCell="A2" activePane="bottomLeft" state="frozen"/>
      <selection pane="bottomLeft" activeCell="A1" sqref="A1"/>
    </sheetView>
  </sheetViews>
  <sheetFormatPr baseColWidth="8" defaultRowHeight="15"/>
  <cols>
    <col width="7" customWidth="1" min="1" max="1"/>
    <col width="52" customWidth="1" min="2" max="2"/>
    <col width="15" customWidth="1" min="3" max="3"/>
    <col width="12" customWidth="1" min="4" max="4"/>
    <col width="12" customWidth="1" min="5" max="5"/>
    <col width="9" customWidth="1" min="6" max="6"/>
    <col width="9" customWidth="1" min="7" max="7"/>
    <col width="9" customWidth="1" min="8" max="8"/>
    <col width="9" customWidth="1" min="9" max="9"/>
    <col width="9" customWidth="1" min="10" max="10"/>
    <col width="12" customWidth="1" min="11" max="11"/>
    <col width="14" customWidth="1" min="12" max="12"/>
    <col width="12" customWidth="1" min="13" max="13"/>
    <col width="11" customWidth="1" min="14" max="14"/>
  </cols>
  <sheetData>
    <row r="1">
      <c r="A1" s="6" t="inlineStr">
        <is>
          <t>ID</t>
        </is>
      </c>
      <c r="B1" s="6" t="inlineStr">
        <is>
          <t>Task</t>
        </is>
      </c>
      <c r="C1" s="6" t="inlineStr">
        <is>
          <t>Trigger basis</t>
        </is>
      </c>
      <c r="D1" s="6" t="inlineStr">
        <is>
          <t>Minutes per occurrence</t>
        </is>
      </c>
      <c r="E1" s="6" t="inlineStr">
        <is>
          <t>Occurrences / yr</t>
        </is>
      </c>
      <c r="F1" s="6" t="inlineStr">
        <is>
          <t>Applies T1</t>
        </is>
      </c>
      <c r="G1" s="6" t="inlineStr">
        <is>
          <t>Applies T2</t>
        </is>
      </c>
      <c r="H1" s="6" t="inlineStr">
        <is>
          <t>Applies T3</t>
        </is>
      </c>
      <c r="I1" s="6" t="inlineStr">
        <is>
          <t>Applies T4</t>
        </is>
      </c>
      <c r="J1" s="6" t="inlineStr">
        <is>
          <t>Owner</t>
        </is>
      </c>
      <c r="K1" s="6" t="inlineStr">
        <is>
          <t>Work type</t>
        </is>
      </c>
      <c r="L1" s="6" t="inlineStr">
        <is>
          <t>Tag</t>
        </is>
      </c>
      <c r="M1" s="6" t="inlineStr">
        <is>
          <t>Minutes / yr</t>
        </is>
      </c>
      <c r="N1" s="6" t="inlineStr">
        <is>
          <t>Hours / yr</t>
        </is>
      </c>
    </row>
    <row r="2">
      <c r="A2" s="12" t="inlineStr">
        <is>
          <t>F1</t>
        </is>
      </c>
      <c r="B2" s="19" t="inlineStr">
        <is>
          <t>Daily custodian reconciliation</t>
        </is>
      </c>
      <c r="C2" s="8" t="inlineStr">
        <is>
          <t>firm</t>
        </is>
      </c>
      <c r="D2" s="11" t="n">
        <v>25</v>
      </c>
      <c r="E2" s="45" t="n">
        <v>250</v>
      </c>
      <c r="F2" s="21" t="n">
        <v>0</v>
      </c>
      <c r="G2" s="21" t="n">
        <v>0</v>
      </c>
      <c r="H2" s="21" t="n">
        <v>0</v>
      </c>
      <c r="I2" s="21" t="n">
        <v>0</v>
      </c>
      <c r="J2" s="8" t="inlineStr">
        <is>
          <t>R6</t>
        </is>
      </c>
      <c r="K2" s="8" t="inlineStr">
        <is>
          <t>operations</t>
        </is>
      </c>
      <c r="L2" s="23" t="inlineStr">
        <is>
          <t>PLACEHOLDER</t>
        </is>
      </c>
      <c r="M2" s="30">
        <f>D2*Efficiency*E2*IF(C2="firm",1,IF(C2="household",F2*Book!$C$2+G2*Book!$C$3+H2*Book!$C$4+I2*Book!$C$5,IF(C2="account",F2*Book!$I$2+G2*Book!$I$3+H2*Book!$I$4+I2*Book!$I$5,F2*Book!$J$2+G2*Book!$J$3+H2*Book!$J$4+I2*Book!$J$5)))</f>
        <v/>
      </c>
      <c r="N2" s="36">
        <f>M2/60*IF(K2="operations",1+Switching_Uplift,1)</f>
        <v/>
      </c>
    </row>
    <row r="3">
      <c r="A3" s="12" t="inlineStr">
        <is>
          <t>F2</t>
        </is>
      </c>
      <c r="B3" s="19" t="inlineStr">
        <is>
          <t>Quarterly billing cycle: calculate, review, submit</t>
        </is>
      </c>
      <c r="C3" s="8" t="inlineStr">
        <is>
          <t>firm</t>
        </is>
      </c>
      <c r="D3" s="11" t="n">
        <v>240</v>
      </c>
      <c r="E3" s="45" t="n">
        <v>4</v>
      </c>
      <c r="F3" s="21" t="n">
        <v>0</v>
      </c>
      <c r="G3" s="21" t="n">
        <v>0</v>
      </c>
      <c r="H3" s="21" t="n">
        <v>0</v>
      </c>
      <c r="I3" s="21" t="n">
        <v>0</v>
      </c>
      <c r="J3" s="8" t="inlineStr">
        <is>
          <t>R7</t>
        </is>
      </c>
      <c r="K3" s="8" t="inlineStr">
        <is>
          <t>operations</t>
        </is>
      </c>
      <c r="L3" s="23" t="inlineStr">
        <is>
          <t>PLACEHOLDER</t>
        </is>
      </c>
      <c r="M3" s="30">
        <f>D3*Efficiency*E3*IF(C3="firm",1,IF(C3="household",F3*Book!$C$2+G3*Book!$C$3+H3*Book!$C$4+I3*Book!$C$5,IF(C3="account",F3*Book!$I$2+G3*Book!$I$3+H3*Book!$I$4+I3*Book!$I$5,F3*Book!$J$2+G3*Book!$J$3+H3*Book!$J$4+I3*Book!$J$5)))</f>
        <v/>
      </c>
      <c r="N3" s="36">
        <f>M3/60*IF(K3="operations",1+Switching_Uplift,1)</f>
        <v/>
      </c>
    </row>
    <row r="4">
      <c r="A4" s="12" t="inlineStr">
        <is>
          <t>F3</t>
        </is>
      </c>
      <c r="B4" s="19" t="inlineStr">
        <is>
          <t>Billing exceptions, adjustments and refunds</t>
        </is>
      </c>
      <c r="C4" s="8" t="inlineStr">
        <is>
          <t>firm</t>
        </is>
      </c>
      <c r="D4" s="11" t="n">
        <v>90</v>
      </c>
      <c r="E4" s="45" t="n">
        <v>4</v>
      </c>
      <c r="F4" s="21" t="n">
        <v>0</v>
      </c>
      <c r="G4" s="21" t="n">
        <v>0</v>
      </c>
      <c r="H4" s="21" t="n">
        <v>0</v>
      </c>
      <c r="I4" s="21" t="n">
        <v>0</v>
      </c>
      <c r="J4" s="8" t="inlineStr">
        <is>
          <t>R7</t>
        </is>
      </c>
      <c r="K4" s="8" t="inlineStr">
        <is>
          <t>operations</t>
        </is>
      </c>
      <c r="L4" s="23" t="inlineStr">
        <is>
          <t>PLACEHOLDER</t>
        </is>
      </c>
      <c r="M4" s="30">
        <f>D4*Efficiency*E4*IF(C4="firm",1,IF(C4="household",F4*Book!$C$2+G4*Book!$C$3+H4*Book!$C$4+I4*Book!$C$5,IF(C4="account",F4*Book!$I$2+G4*Book!$I$3+H4*Book!$I$4+I4*Book!$I$5,F4*Book!$J$2+G4*Book!$J$3+H4*Book!$J$4+I4*Book!$J$5)))</f>
        <v/>
      </c>
      <c r="N4" s="36">
        <f>M4/60*IF(K4="operations",1+Switching_Uplift,1)</f>
        <v/>
      </c>
    </row>
    <row r="5">
      <c r="A5" s="12" t="inlineStr">
        <is>
          <t>F4</t>
        </is>
      </c>
      <c r="B5" s="19" t="inlineStr">
        <is>
          <t>Compliance calendar items (books and records, testing)</t>
        </is>
      </c>
      <c r="C5" s="8" t="inlineStr">
        <is>
          <t>firm</t>
        </is>
      </c>
      <c r="D5" s="11" t="n">
        <v>180</v>
      </c>
      <c r="E5" s="45" t="n">
        <v>12</v>
      </c>
      <c r="F5" s="21" t="n">
        <v>0</v>
      </c>
      <c r="G5" s="21" t="n">
        <v>0</v>
      </c>
      <c r="H5" s="21" t="n">
        <v>0</v>
      </c>
      <c r="I5" s="21" t="n">
        <v>0</v>
      </c>
      <c r="J5" s="8" t="inlineStr">
        <is>
          <t>R7</t>
        </is>
      </c>
      <c r="K5" s="8" t="inlineStr">
        <is>
          <t>operations</t>
        </is>
      </c>
      <c r="L5" s="23" t="inlineStr">
        <is>
          <t>PLACEHOLDER</t>
        </is>
      </c>
      <c r="M5" s="30">
        <f>D5*Efficiency*E5*IF(C5="firm",1,IF(C5="household",F5*Book!$C$2+G5*Book!$C$3+H5*Book!$C$4+I5*Book!$C$5,IF(C5="account",F5*Book!$I$2+G5*Book!$I$3+H5*Book!$I$4+I5*Book!$I$5,F5*Book!$J$2+G5*Book!$J$3+H5*Book!$J$4+I5*Book!$J$5)))</f>
        <v/>
      </c>
      <c r="N5" s="36">
        <f>M5/60*IF(K5="operations",1+Switching_Uplift,1)</f>
        <v/>
      </c>
    </row>
    <row r="6">
      <c r="A6" s="12" t="inlineStr">
        <is>
          <t>F5</t>
        </is>
      </c>
      <c r="B6" s="19" t="inlineStr">
        <is>
          <t>Annual ADV amendment, delivery and filing</t>
        </is>
      </c>
      <c r="C6" s="8" t="inlineStr">
        <is>
          <t>firm</t>
        </is>
      </c>
      <c r="D6" s="11" t="n">
        <v>480</v>
      </c>
      <c r="E6" s="45" t="n">
        <v>1</v>
      </c>
      <c r="F6" s="21" t="n">
        <v>0</v>
      </c>
      <c r="G6" s="21" t="n">
        <v>0</v>
      </c>
      <c r="H6" s="21" t="n">
        <v>0</v>
      </c>
      <c r="I6" s="21" t="n">
        <v>0</v>
      </c>
      <c r="J6" s="8" t="inlineStr">
        <is>
          <t>R7</t>
        </is>
      </c>
      <c r="K6" s="8" t="inlineStr">
        <is>
          <t>operations</t>
        </is>
      </c>
      <c r="L6" s="23" t="inlineStr">
        <is>
          <t>PLACEHOLDER</t>
        </is>
      </c>
      <c r="M6" s="30">
        <f>D6*Efficiency*E6*IF(C6="firm",1,IF(C6="household",F6*Book!$C$2+G6*Book!$C$3+H6*Book!$C$4+I6*Book!$C$5,IF(C6="account",F6*Book!$I$2+G6*Book!$I$3+H6*Book!$I$4+I6*Book!$I$5,F6*Book!$J$2+G6*Book!$J$3+H6*Book!$J$4+I6*Book!$J$5)))</f>
        <v/>
      </c>
      <c r="N6" s="36">
        <f>M6/60*IF(K6="operations",1+Switching_Uplift,1)</f>
        <v/>
      </c>
    </row>
    <row r="7">
      <c r="A7" s="12" t="inlineStr">
        <is>
          <t>F6</t>
        </is>
      </c>
      <c r="B7" s="19" t="inlineStr">
        <is>
          <t>Vendor management (custodian, CRM, planning, e-sign)</t>
        </is>
      </c>
      <c r="C7" s="8" t="inlineStr">
        <is>
          <t>firm</t>
        </is>
      </c>
      <c r="D7" s="11" t="n">
        <v>120</v>
      </c>
      <c r="E7" s="45" t="n">
        <v>12</v>
      </c>
      <c r="F7" s="21" t="n">
        <v>0</v>
      </c>
      <c r="G7" s="21" t="n">
        <v>0</v>
      </c>
      <c r="H7" s="21" t="n">
        <v>0</v>
      </c>
      <c r="I7" s="21" t="n">
        <v>0</v>
      </c>
      <c r="J7" s="8" t="inlineStr">
        <is>
          <t>R7</t>
        </is>
      </c>
      <c r="K7" s="8" t="inlineStr">
        <is>
          <t>operations</t>
        </is>
      </c>
      <c r="L7" s="23" t="inlineStr">
        <is>
          <t>PLACEHOLDER</t>
        </is>
      </c>
      <c r="M7" s="30">
        <f>D7*Efficiency*E7*IF(C7="firm",1,IF(C7="household",F7*Book!$C$2+G7*Book!$C$3+H7*Book!$C$4+I7*Book!$C$5,IF(C7="account",F7*Book!$I$2+G7*Book!$I$3+H7*Book!$I$4+I7*Book!$I$5,F7*Book!$J$2+G7*Book!$J$3+H7*Book!$J$4+I7*Book!$J$5)))</f>
        <v/>
      </c>
      <c r="N7" s="36">
        <f>M7/60*IF(K7="operations",1+Switching_Uplift,1)</f>
        <v/>
      </c>
    </row>
    <row r="8">
      <c r="A8" s="12" t="inlineStr">
        <is>
          <t>F7</t>
        </is>
      </c>
      <c r="B8" s="19" t="inlineStr">
        <is>
          <t>Quarterly performance reporting run</t>
        </is>
      </c>
      <c r="C8" s="8" t="inlineStr">
        <is>
          <t>firm</t>
        </is>
      </c>
      <c r="D8" s="11" t="n">
        <v>300</v>
      </c>
      <c r="E8" s="45" t="n">
        <v>4</v>
      </c>
      <c r="F8" s="21" t="n">
        <v>0</v>
      </c>
      <c r="G8" s="21" t="n">
        <v>0</v>
      </c>
      <c r="H8" s="21" t="n">
        <v>0</v>
      </c>
      <c r="I8" s="21" t="n">
        <v>0</v>
      </c>
      <c r="J8" s="8" t="inlineStr">
        <is>
          <t>R7</t>
        </is>
      </c>
      <c r="K8" s="8" t="inlineStr">
        <is>
          <t>operations</t>
        </is>
      </c>
      <c r="L8" s="23" t="inlineStr">
        <is>
          <t>PLACEHOLDER</t>
        </is>
      </c>
      <c r="M8" s="30">
        <f>D8*Efficiency*E8*IF(C8="firm",1,IF(C8="household",F8*Book!$C$2+G8*Book!$C$3+H8*Book!$C$4+I8*Book!$C$5,IF(C8="account",F8*Book!$I$2+G8*Book!$I$3+H8*Book!$I$4+I8*Book!$I$5,F8*Book!$J$2+G8*Book!$J$3+H8*Book!$J$4+I8*Book!$J$5)))</f>
        <v/>
      </c>
      <c r="N8" s="36">
        <f>M8/60*IF(K8="operations",1+Switching_Uplift,1)</f>
        <v/>
      </c>
    </row>
    <row r="9">
      <c r="A9" s="12" t="inlineStr">
        <is>
          <t>F8</t>
        </is>
      </c>
      <c r="B9" s="19" t="inlineStr">
        <is>
          <t>CRM hygiene sweep (data audit, workflow cleanup)</t>
        </is>
      </c>
      <c r="C9" s="8" t="inlineStr">
        <is>
          <t>firm</t>
        </is>
      </c>
      <c r="D9" s="11" t="n">
        <v>120</v>
      </c>
      <c r="E9" s="45" t="n">
        <v>12</v>
      </c>
      <c r="F9" s="21" t="n">
        <v>0</v>
      </c>
      <c r="G9" s="21" t="n">
        <v>0</v>
      </c>
      <c r="H9" s="21" t="n">
        <v>0</v>
      </c>
      <c r="I9" s="21" t="n">
        <v>0</v>
      </c>
      <c r="J9" s="8" t="inlineStr">
        <is>
          <t>R4</t>
        </is>
      </c>
      <c r="K9" s="8" t="inlineStr">
        <is>
          <t>operations</t>
        </is>
      </c>
      <c r="L9" s="23" t="inlineStr">
        <is>
          <t>PLACEHOLDER</t>
        </is>
      </c>
      <c r="M9" s="30">
        <f>D9*Efficiency*E9*IF(C9="firm",1,IF(C9="household",F9*Book!$C$2+G9*Book!$C$3+H9*Book!$C$4+I9*Book!$C$5,IF(C9="account",F9*Book!$I$2+G9*Book!$I$3+H9*Book!$I$4+I9*Book!$I$5,F9*Book!$J$2+G9*Book!$J$3+H9*Book!$J$4+I9*Book!$J$5)))</f>
        <v/>
      </c>
      <c r="N9" s="36">
        <f>M9/60*IF(K9="operations",1+Switching_Uplift,1)</f>
        <v/>
      </c>
    </row>
    <row r="10">
      <c r="A10" s="12" t="inlineStr">
        <is>
          <t>F9</t>
        </is>
      </c>
      <c r="B10" s="19" t="inlineStr">
        <is>
          <t>Trade error review and correction log</t>
        </is>
      </c>
      <c r="C10" s="8" t="inlineStr">
        <is>
          <t>firm</t>
        </is>
      </c>
      <c r="D10" s="11" t="n">
        <v>45</v>
      </c>
      <c r="E10" s="45" t="n">
        <v>12</v>
      </c>
      <c r="F10" s="21" t="n">
        <v>0</v>
      </c>
      <c r="G10" s="21" t="n">
        <v>0</v>
      </c>
      <c r="H10" s="21" t="n">
        <v>0</v>
      </c>
      <c r="I10" s="21" t="n">
        <v>0</v>
      </c>
      <c r="J10" s="8" t="inlineStr">
        <is>
          <t>R7</t>
        </is>
      </c>
      <c r="K10" s="8" t="inlineStr">
        <is>
          <t>operations</t>
        </is>
      </c>
      <c r="L10" s="23" t="inlineStr">
        <is>
          <t>PLACEHOLDER</t>
        </is>
      </c>
      <c r="M10" s="30">
        <f>D10*Efficiency*E10*IF(C10="firm",1,IF(C10="household",F10*Book!$C$2+G10*Book!$C$3+H10*Book!$C$4+I10*Book!$C$5,IF(C10="account",F10*Book!$I$2+G10*Book!$I$3+H10*Book!$I$4+I10*Book!$I$5,F10*Book!$J$2+G10*Book!$J$3+H10*Book!$J$4+I10*Book!$J$5)))</f>
        <v/>
      </c>
      <c r="N10" s="36">
        <f>M10/60*IF(K10="operations",1+Switching_Uplift,1)</f>
        <v/>
      </c>
    </row>
    <row r="11">
      <c r="A11" s="12" t="inlineStr">
        <is>
          <t>F10</t>
        </is>
      </c>
      <c r="B11" s="19" t="inlineStr">
        <is>
          <t>Staff onboarding and offboarding (systems, access)</t>
        </is>
      </c>
      <c r="C11" s="8" t="inlineStr">
        <is>
          <t>firm</t>
        </is>
      </c>
      <c r="D11" s="11" t="n">
        <v>240</v>
      </c>
      <c r="E11" s="45" t="n">
        <v>2</v>
      </c>
      <c r="F11" s="21" t="n">
        <v>0</v>
      </c>
      <c r="G11" s="21" t="n">
        <v>0</v>
      </c>
      <c r="H11" s="21" t="n">
        <v>0</v>
      </c>
      <c r="I11" s="21" t="n">
        <v>0</v>
      </c>
      <c r="J11" s="8" t="inlineStr">
        <is>
          <t>R6</t>
        </is>
      </c>
      <c r="K11" s="8" t="inlineStr">
        <is>
          <t>operations</t>
        </is>
      </c>
      <c r="L11" s="23" t="inlineStr">
        <is>
          <t>PLACEHOLDER</t>
        </is>
      </c>
      <c r="M11" s="30">
        <f>D11*Efficiency*E11*IF(C11="firm",1,IF(C11="household",F11*Book!$C$2+G11*Book!$C$3+H11*Book!$C$4+I11*Book!$C$5,IF(C11="account",F11*Book!$I$2+G11*Book!$I$3+H11*Book!$I$4+I11*Book!$I$5,F11*Book!$J$2+G11*Book!$J$3+H11*Book!$J$4+I11*Book!$J$5)))</f>
        <v/>
      </c>
      <c r="N11" s="36">
        <f>M11/60*IF(K11="operations",1+Switching_Uplift,1)</f>
        <v/>
      </c>
    </row>
    <row r="12">
      <c r="A12" s="12" t="inlineStr">
        <is>
          <t>F11</t>
        </is>
      </c>
      <c r="B12" s="19" t="inlineStr">
        <is>
          <t>Business continuity and cybersecurity review</t>
        </is>
      </c>
      <c r="C12" s="8" t="inlineStr">
        <is>
          <t>firm</t>
        </is>
      </c>
      <c r="D12" s="11" t="n">
        <v>240</v>
      </c>
      <c r="E12" s="45" t="n">
        <v>2</v>
      </c>
      <c r="F12" s="21" t="n">
        <v>0</v>
      </c>
      <c r="G12" s="21" t="n">
        <v>0</v>
      </c>
      <c r="H12" s="21" t="n">
        <v>0</v>
      </c>
      <c r="I12" s="21" t="n">
        <v>0</v>
      </c>
      <c r="J12" s="8" t="inlineStr">
        <is>
          <t>R7</t>
        </is>
      </c>
      <c r="K12" s="8" t="inlineStr">
        <is>
          <t>operations</t>
        </is>
      </c>
      <c r="L12" s="23" t="inlineStr">
        <is>
          <t>PLACEHOLDER</t>
        </is>
      </c>
      <c r="M12" s="30">
        <f>D12*Efficiency*E12*IF(C12="firm",1,IF(C12="household",F12*Book!$C$2+G12*Book!$C$3+H12*Book!$C$4+I12*Book!$C$5,IF(C12="account",F12*Book!$I$2+G12*Book!$I$3+H12*Book!$I$4+I12*Book!$I$5,F12*Book!$J$2+G12*Book!$J$3+H12*Book!$J$4+I12*Book!$J$5)))</f>
        <v/>
      </c>
      <c r="N12" s="36">
        <f>M12/60*IF(K12="operations",1+Switching_Uplift,1)</f>
        <v/>
      </c>
    </row>
    <row r="13">
      <c r="A13" s="12" t="inlineStr">
        <is>
          <t>F12</t>
        </is>
      </c>
      <c r="B13" s="19" t="inlineStr">
        <is>
          <t>Operations standing agenda in the team meeting</t>
        </is>
      </c>
      <c r="C13" s="8" t="inlineStr">
        <is>
          <t>firm</t>
        </is>
      </c>
      <c r="D13" s="11" t="n">
        <v>30</v>
      </c>
      <c r="E13" s="45" t="n">
        <v>48</v>
      </c>
      <c r="F13" s="21" t="n">
        <v>0</v>
      </c>
      <c r="G13" s="21" t="n">
        <v>0</v>
      </c>
      <c r="H13" s="21" t="n">
        <v>0</v>
      </c>
      <c r="I13" s="21" t="n">
        <v>0</v>
      </c>
      <c r="J13" s="8" t="inlineStr">
        <is>
          <t>R6</t>
        </is>
      </c>
      <c r="K13" s="8" t="inlineStr">
        <is>
          <t>operations</t>
        </is>
      </c>
      <c r="L13" s="23" t="inlineStr">
        <is>
          <t>PLACEHOLDER</t>
        </is>
      </c>
      <c r="M13" s="30">
        <f>D13*Efficiency*E13*IF(C13="firm",1,IF(C13="household",F13*Book!$C$2+G13*Book!$C$3+H13*Book!$C$4+I13*Book!$C$5,IF(C13="account",F13*Book!$I$2+G13*Book!$I$3+H13*Book!$I$4+I13*Book!$I$5,F13*Book!$J$2+G13*Book!$J$3+H13*Book!$J$4+I13*Book!$J$5)))</f>
        <v/>
      </c>
      <c r="N13" s="36">
        <f>M13/60*IF(K13="operations",1+Switching_Uplift,1)</f>
        <v/>
      </c>
    </row>
    <row r="14">
      <c r="A14" s="12" t="inlineStr">
        <is>
          <t>A1</t>
        </is>
      </c>
      <c r="B14" s="19" t="inlineStr">
        <is>
          <t>Account maintenance (address, beneficiary, registration)</t>
        </is>
      </c>
      <c r="C14" s="8" t="inlineStr">
        <is>
          <t>account</t>
        </is>
      </c>
      <c r="D14" s="11" t="n">
        <v>20</v>
      </c>
      <c r="E14" s="45" t="n">
        <v>0.6</v>
      </c>
      <c r="F14" s="21" t="n">
        <v>1</v>
      </c>
      <c r="G14" s="21" t="n">
        <v>1</v>
      </c>
      <c r="H14" s="21" t="n">
        <v>1</v>
      </c>
      <c r="I14" s="21" t="n">
        <v>1</v>
      </c>
      <c r="J14" s="8" t="inlineStr">
        <is>
          <t>R6</t>
        </is>
      </c>
      <c r="K14" s="8" t="inlineStr">
        <is>
          <t>operations</t>
        </is>
      </c>
      <c r="L14" s="23" t="inlineStr">
        <is>
          <t>PLACEHOLDER</t>
        </is>
      </c>
      <c r="M14" s="30">
        <f>D14*Efficiency*E14*IF(C14="firm",1,IF(C14="household",F14*Book!$C$2+G14*Book!$C$3+H14*Book!$C$4+I14*Book!$C$5,IF(C14="account",F14*Book!$I$2+G14*Book!$I$3+H14*Book!$I$4+I14*Book!$I$5,F14*Book!$J$2+G14*Book!$J$3+H14*Book!$J$4+I14*Book!$J$5)))</f>
        <v/>
      </c>
      <c r="N14" s="36">
        <f>M14/60*IF(K14="operations",1+Switching_Uplift,1)</f>
        <v/>
      </c>
    </row>
    <row r="15">
      <c r="A15" s="12" t="inlineStr">
        <is>
          <t>A2</t>
        </is>
      </c>
      <c r="B15" s="19" t="inlineStr">
        <is>
          <t>Custodian document requests and statement retrieval</t>
        </is>
      </c>
      <c r="C15" s="8" t="inlineStr">
        <is>
          <t>account</t>
        </is>
      </c>
      <c r="D15" s="11" t="n">
        <v>12</v>
      </c>
      <c r="E15" s="45" t="n">
        <v>1.5</v>
      </c>
      <c r="F15" s="21" t="n">
        <v>1</v>
      </c>
      <c r="G15" s="21" t="n">
        <v>1</v>
      </c>
      <c r="H15" s="21" t="n">
        <v>1</v>
      </c>
      <c r="I15" s="21" t="n">
        <v>1</v>
      </c>
      <c r="J15" s="8" t="inlineStr">
        <is>
          <t>R5</t>
        </is>
      </c>
      <c r="K15" s="8" t="inlineStr">
        <is>
          <t>operations</t>
        </is>
      </c>
      <c r="L15" s="23" t="inlineStr">
        <is>
          <t>PLACEHOLDER</t>
        </is>
      </c>
      <c r="M15" s="30">
        <f>D15*Efficiency*E15*IF(C15="firm",1,IF(C15="household",F15*Book!$C$2+G15*Book!$C$3+H15*Book!$C$4+I15*Book!$C$5,IF(C15="account",F15*Book!$I$2+G15*Book!$I$3+H15*Book!$I$4+I15*Book!$I$5,F15*Book!$J$2+G15*Book!$J$3+H15*Book!$J$4+I15*Book!$J$5)))</f>
        <v/>
      </c>
      <c r="N15" s="36">
        <f>M15/60*IF(K15="operations",1+Switching_Uplift,1)</f>
        <v/>
      </c>
    </row>
    <row r="16">
      <c r="A16" s="12" t="inlineStr">
        <is>
          <t>A3</t>
        </is>
      </c>
      <c r="B16" s="19" t="inlineStr">
        <is>
          <t>Cost basis and tax document checks (1099 season)</t>
        </is>
      </c>
      <c r="C16" s="8" t="inlineStr">
        <is>
          <t>account</t>
        </is>
      </c>
      <c r="D16" s="11" t="n">
        <v>15</v>
      </c>
      <c r="E16" s="45" t="n">
        <v>1</v>
      </c>
      <c r="F16" s="21" t="n">
        <v>1</v>
      </c>
      <c r="G16" s="21" t="n">
        <v>1</v>
      </c>
      <c r="H16" s="21" t="n">
        <v>1</v>
      </c>
      <c r="I16" s="21" t="n">
        <v>1</v>
      </c>
      <c r="J16" s="8" t="inlineStr">
        <is>
          <t>R5</t>
        </is>
      </c>
      <c r="K16" s="8" t="inlineStr">
        <is>
          <t>operations</t>
        </is>
      </c>
      <c r="L16" s="23" t="inlineStr">
        <is>
          <t>PLACEHOLDER</t>
        </is>
      </c>
      <c r="M16" s="30">
        <f>D16*Efficiency*E16*IF(C16="firm",1,IF(C16="household",F16*Book!$C$2+G16*Book!$C$3+H16*Book!$C$4+I16*Book!$C$5,IF(C16="account",F16*Book!$I$2+G16*Book!$I$3+H16*Book!$I$4+I16*Book!$I$5,F16*Book!$J$2+G16*Book!$J$3+H16*Book!$J$4+I16*Book!$J$5)))</f>
        <v/>
      </c>
      <c r="N16" s="36">
        <f>M16/60*IF(K16="operations",1+Switching_Uplift,1)</f>
        <v/>
      </c>
    </row>
    <row r="17">
      <c r="A17" s="12" t="inlineStr">
        <is>
          <t>N1</t>
        </is>
      </c>
      <c r="B17" s="19" t="inlineStr">
        <is>
          <t>Onboarding paperwork prep and e-sign packet</t>
        </is>
      </c>
      <c r="C17" s="8" t="inlineStr">
        <is>
          <t>new_household</t>
        </is>
      </c>
      <c r="D17" s="11" t="n">
        <v>90</v>
      </c>
      <c r="E17" s="45" t="n">
        <v>1</v>
      </c>
      <c r="F17" s="21" t="n">
        <v>1</v>
      </c>
      <c r="G17" s="21" t="n">
        <v>1</v>
      </c>
      <c r="H17" s="21" t="n">
        <v>1</v>
      </c>
      <c r="I17" s="21" t="n">
        <v>1</v>
      </c>
      <c r="J17" s="8" t="inlineStr">
        <is>
          <t>R5</t>
        </is>
      </c>
      <c r="K17" s="8" t="inlineStr">
        <is>
          <t>operations</t>
        </is>
      </c>
      <c r="L17" s="23" t="inlineStr">
        <is>
          <t>PLACEHOLDER</t>
        </is>
      </c>
      <c r="M17" s="30">
        <f>D17*Efficiency*E17*IF(C17="firm",1,IF(C17="household",F17*Book!$C$2+G17*Book!$C$3+H17*Book!$C$4+I17*Book!$C$5,IF(C17="account",F17*Book!$I$2+G17*Book!$I$3+H17*Book!$I$4+I17*Book!$I$5,F17*Book!$J$2+G17*Book!$J$3+H17*Book!$J$4+I17*Book!$J$5)))</f>
        <v/>
      </c>
      <c r="N17" s="36">
        <f>M17/60*IF(K17="operations",1+Switching_Uplift,1)</f>
        <v/>
      </c>
    </row>
    <row r="18">
      <c r="A18" s="12" t="inlineStr">
        <is>
          <t>N2</t>
        </is>
      </c>
      <c r="B18" s="19" t="inlineStr">
        <is>
          <t>Account opening across registrations</t>
        </is>
      </c>
      <c r="C18" s="8" t="inlineStr">
        <is>
          <t>new_household</t>
        </is>
      </c>
      <c r="D18" s="11" t="n">
        <v>120</v>
      </c>
      <c r="E18" s="45" t="n">
        <v>1</v>
      </c>
      <c r="F18" s="21" t="n">
        <v>1</v>
      </c>
      <c r="G18" s="21" t="n">
        <v>1</v>
      </c>
      <c r="H18" s="21" t="n">
        <v>1</v>
      </c>
      <c r="I18" s="21" t="n">
        <v>1</v>
      </c>
      <c r="J18" s="8" t="inlineStr">
        <is>
          <t>R5</t>
        </is>
      </c>
      <c r="K18" s="8" t="inlineStr">
        <is>
          <t>operations</t>
        </is>
      </c>
      <c r="L18" s="23" t="inlineStr">
        <is>
          <t>PLACEHOLDER</t>
        </is>
      </c>
      <c r="M18" s="30">
        <f>D18*Efficiency*E18*IF(C18="firm",1,IF(C18="household",F18*Book!$C$2+G18*Book!$C$3+H18*Book!$C$4+I18*Book!$C$5,IF(C18="account",F18*Book!$I$2+G18*Book!$I$3+H18*Book!$I$4+I18*Book!$I$5,F18*Book!$J$2+G18*Book!$J$3+H18*Book!$J$4+I18*Book!$J$5)))</f>
        <v/>
      </c>
      <c r="N18" s="36">
        <f>M18/60*IF(K18="operations",1+Switching_Uplift,1)</f>
        <v/>
      </c>
    </row>
    <row r="19">
      <c r="A19" s="12" t="inlineStr">
        <is>
          <t>N3</t>
        </is>
      </c>
      <c r="B19" s="19" t="inlineStr">
        <is>
          <t>ACAT / transfer initiation and tracking to completion</t>
        </is>
      </c>
      <c r="C19" s="8" t="inlineStr">
        <is>
          <t>new_household</t>
        </is>
      </c>
      <c r="D19" s="11" t="n">
        <v>75</v>
      </c>
      <c r="E19" s="45" t="n">
        <v>1</v>
      </c>
      <c r="F19" s="21" t="n">
        <v>1</v>
      </c>
      <c r="G19" s="21" t="n">
        <v>1</v>
      </c>
      <c r="H19" s="21" t="n">
        <v>1</v>
      </c>
      <c r="I19" s="21" t="n">
        <v>1</v>
      </c>
      <c r="J19" s="8" t="inlineStr">
        <is>
          <t>R6</t>
        </is>
      </c>
      <c r="K19" s="8" t="inlineStr">
        <is>
          <t>operations</t>
        </is>
      </c>
      <c r="L19" s="23" t="inlineStr">
        <is>
          <t>PLACEHOLDER</t>
        </is>
      </c>
      <c r="M19" s="30">
        <f>D19*Efficiency*E19*IF(C19="firm",1,IF(C19="household",F19*Book!$C$2+G19*Book!$C$3+H19*Book!$C$4+I19*Book!$C$5,IF(C19="account",F19*Book!$I$2+G19*Book!$I$3+H19*Book!$I$4+I19*Book!$I$5,F19*Book!$J$2+G19*Book!$J$3+H19*Book!$J$4+I19*Book!$J$5)))</f>
        <v/>
      </c>
      <c r="N19" s="36">
        <f>M19/60*IF(K19="operations",1+Switching_Uplift,1)</f>
        <v/>
      </c>
    </row>
    <row r="20">
      <c r="A20" s="12" t="inlineStr">
        <is>
          <t>N4</t>
        </is>
      </c>
      <c r="B20" s="19" t="inlineStr">
        <is>
          <t>Data entry: CRM, planning software, portfolio system</t>
        </is>
      </c>
      <c r="C20" s="8" t="inlineStr">
        <is>
          <t>new_household</t>
        </is>
      </c>
      <c r="D20" s="11" t="n">
        <v>100</v>
      </c>
      <c r="E20" s="45" t="n">
        <v>1</v>
      </c>
      <c r="F20" s="21" t="n">
        <v>1</v>
      </c>
      <c r="G20" s="21" t="n">
        <v>1</v>
      </c>
      <c r="H20" s="21" t="n">
        <v>1</v>
      </c>
      <c r="I20" s="21" t="n">
        <v>1</v>
      </c>
      <c r="J20" s="8" t="inlineStr">
        <is>
          <t>R4</t>
        </is>
      </c>
      <c r="K20" s="8" t="inlineStr">
        <is>
          <t>operations</t>
        </is>
      </c>
      <c r="L20" s="23" t="inlineStr">
        <is>
          <t>PLACEHOLDER</t>
        </is>
      </c>
      <c r="M20" s="30">
        <f>D20*Efficiency*E20*IF(C20="firm",1,IF(C20="household",F20*Book!$C$2+G20*Book!$C$3+H20*Book!$C$4+I20*Book!$C$5,IF(C20="account",F20*Book!$I$2+G20*Book!$I$3+H20*Book!$I$4+I20*Book!$I$5,F20*Book!$J$2+G20*Book!$J$3+H20*Book!$J$4+I20*Book!$J$5)))</f>
        <v/>
      </c>
      <c r="N20" s="36">
        <f>M20/60*IF(K20="operations",1+Switching_Uplift,1)</f>
        <v/>
      </c>
    </row>
    <row r="21">
      <c r="A21" s="12" t="inlineStr">
        <is>
          <t>N5</t>
        </is>
      </c>
      <c r="B21" s="19" t="inlineStr">
        <is>
          <t>Welcome sequence, vault and portal credentials</t>
        </is>
      </c>
      <c r="C21" s="8" t="inlineStr">
        <is>
          <t>new_household</t>
        </is>
      </c>
      <c r="D21" s="11" t="n">
        <v>45</v>
      </c>
      <c r="E21" s="45" t="n">
        <v>1</v>
      </c>
      <c r="F21" s="21" t="n">
        <v>1</v>
      </c>
      <c r="G21" s="21" t="n">
        <v>1</v>
      </c>
      <c r="H21" s="21" t="n">
        <v>1</v>
      </c>
      <c r="I21" s="21" t="n">
        <v>1</v>
      </c>
      <c r="J21" s="8" t="inlineStr">
        <is>
          <t>R5</t>
        </is>
      </c>
      <c r="K21" s="8" t="inlineStr">
        <is>
          <t>operations</t>
        </is>
      </c>
      <c r="L21" s="23" t="inlineStr">
        <is>
          <t>PLACEHOLDER</t>
        </is>
      </c>
      <c r="M21" s="30">
        <f>D21*Efficiency*E21*IF(C21="firm",1,IF(C21="household",F21*Book!$C$2+G21*Book!$C$3+H21*Book!$C$4+I21*Book!$C$5,IF(C21="account",F21*Book!$I$2+G21*Book!$I$3+H21*Book!$I$4+I21*Book!$I$5,F21*Book!$J$2+G21*Book!$J$3+H21*Book!$J$4+I21*Book!$J$5)))</f>
        <v/>
      </c>
      <c r="N21" s="36">
        <f>M21/60*IF(K21="operations",1+Switching_Uplift,1)</f>
        <v/>
      </c>
    </row>
    <row r="22">
      <c r="A22" s="12" t="inlineStr">
        <is>
          <t>N6</t>
        </is>
      </c>
      <c r="B22" s="19" t="inlineStr">
        <is>
          <t>Advisor chases outstanding onboarding paperwork</t>
        </is>
      </c>
      <c r="C22" s="8" t="inlineStr">
        <is>
          <t>new_household</t>
        </is>
      </c>
      <c r="D22" s="11" t="n">
        <v>40</v>
      </c>
      <c r="E22" s="45" t="n">
        <v>1</v>
      </c>
      <c r="F22" s="21" t="n">
        <v>1</v>
      </c>
      <c r="G22" s="21" t="n">
        <v>1</v>
      </c>
      <c r="H22" s="21" t="n">
        <v>1</v>
      </c>
      <c r="I22" s="21" t="n">
        <v>1</v>
      </c>
      <c r="J22" s="8" t="inlineStr">
        <is>
          <t>R2</t>
        </is>
      </c>
      <c r="K22" s="8" t="inlineStr">
        <is>
          <t>operations</t>
        </is>
      </c>
      <c r="L22" s="23" t="inlineStr">
        <is>
          <t>PLACEHOLDER</t>
        </is>
      </c>
      <c r="M22" s="30">
        <f>D22*Efficiency*E22*IF(C22="firm",1,IF(C22="household",F22*Book!$C$2+G22*Book!$C$3+H22*Book!$C$4+I22*Book!$C$5,IF(C22="account",F22*Book!$I$2+G22*Book!$I$3+H22*Book!$I$4+I22*Book!$I$5,F22*Book!$J$2+G22*Book!$J$3+H22*Book!$J$4+I22*Book!$J$5)))</f>
        <v/>
      </c>
      <c r="N22" s="36">
        <f>M22/60*IF(K22="operations",1+Switching_Uplift,1)</f>
        <v/>
      </c>
    </row>
    <row r="23">
      <c r="A23" s="12" t="inlineStr">
        <is>
          <t>H1</t>
        </is>
      </c>
      <c r="B23" s="19" t="inlineStr">
        <is>
          <t>Annual review scheduling and confirmation</t>
        </is>
      </c>
      <c r="C23" s="8" t="inlineStr">
        <is>
          <t>household</t>
        </is>
      </c>
      <c r="D23" s="11" t="n">
        <v>20</v>
      </c>
      <c r="E23" s="45" t="n">
        <v>1</v>
      </c>
      <c r="F23" s="21" t="n">
        <v>1</v>
      </c>
      <c r="G23" s="21" t="n">
        <v>1</v>
      </c>
      <c r="H23" s="21" t="n">
        <v>1</v>
      </c>
      <c r="I23" s="21" t="n">
        <v>1</v>
      </c>
      <c r="J23" s="8" t="inlineStr">
        <is>
          <t>R5</t>
        </is>
      </c>
      <c r="K23" s="8" t="inlineStr">
        <is>
          <t>operations</t>
        </is>
      </c>
      <c r="L23" s="23" t="inlineStr">
        <is>
          <t>PLACEHOLDER</t>
        </is>
      </c>
      <c r="M23" s="30">
        <f>D23*Efficiency*E23*IF(C23="firm",1,IF(C23="household",F23*Book!$C$2+G23*Book!$C$3+H23*Book!$C$4+I23*Book!$C$5,IF(C23="account",F23*Book!$I$2+G23*Book!$I$3+H23*Book!$I$4+I23*Book!$I$5,F23*Book!$J$2+G23*Book!$J$3+H23*Book!$J$4+I23*Book!$J$5)))</f>
        <v/>
      </c>
      <c r="N23" s="36">
        <f>M23/60*IF(K23="operations",1+Switching_Uplift,1)</f>
        <v/>
      </c>
    </row>
    <row r="24">
      <c r="A24" s="12" t="inlineStr">
        <is>
          <t>H2</t>
        </is>
      </c>
      <c r="B24" s="19" t="inlineStr">
        <is>
          <t>Meeting prep pack</t>
        </is>
      </c>
      <c r="C24" s="8" t="inlineStr">
        <is>
          <t>household</t>
        </is>
      </c>
      <c r="D24" s="11" t="n">
        <v>45</v>
      </c>
      <c r="E24" s="45" t="n">
        <v>1</v>
      </c>
      <c r="F24" s="21" t="n">
        <v>1</v>
      </c>
      <c r="G24" s="21" t="n">
        <v>1</v>
      </c>
      <c r="H24" s="21" t="n">
        <v>0</v>
      </c>
      <c r="I24" s="21" t="n">
        <v>0</v>
      </c>
      <c r="J24" s="8" t="inlineStr">
        <is>
          <t>R4</t>
        </is>
      </c>
      <c r="K24" s="8" t="inlineStr">
        <is>
          <t>operations</t>
        </is>
      </c>
      <c r="L24" s="23" t="inlineStr">
        <is>
          <t>PLACEHOLDER</t>
        </is>
      </c>
      <c r="M24" s="30">
        <f>D24*Efficiency*E24*IF(C24="firm",1,IF(C24="household",F24*Book!$C$2+G24*Book!$C$3+H24*Book!$C$4+I24*Book!$C$5,IF(C24="account",F24*Book!$I$2+G24*Book!$I$3+H24*Book!$I$4+I24*Book!$I$5,F24*Book!$J$2+G24*Book!$J$3+H24*Book!$J$4+I24*Book!$J$5)))</f>
        <v/>
      </c>
      <c r="N24" s="36">
        <f>M24/60*IF(K24="operations",1+Switching_Uplift,1)</f>
        <v/>
      </c>
    </row>
    <row r="25">
      <c r="A25" s="12" t="inlineStr">
        <is>
          <t>H3</t>
        </is>
      </c>
      <c r="B25" s="19" t="inlineStr">
        <is>
          <t>Meeting prep pack</t>
        </is>
      </c>
      <c r="C25" s="8" t="inlineStr">
        <is>
          <t>household</t>
        </is>
      </c>
      <c r="D25" s="11" t="n">
        <v>85</v>
      </c>
      <c r="E25" s="45" t="n">
        <v>2</v>
      </c>
      <c r="F25" s="21" t="n">
        <v>0</v>
      </c>
      <c r="G25" s="21" t="n">
        <v>0</v>
      </c>
      <c r="H25" s="21" t="n">
        <v>1</v>
      </c>
      <c r="I25" s="21" t="n">
        <v>1</v>
      </c>
      <c r="J25" s="8" t="inlineStr">
        <is>
          <t>R4</t>
        </is>
      </c>
      <c r="K25" s="8" t="inlineStr">
        <is>
          <t>operations</t>
        </is>
      </c>
      <c r="L25" s="23" t="inlineStr">
        <is>
          <t>PLACEHOLDER</t>
        </is>
      </c>
      <c r="M25" s="30">
        <f>D25*Efficiency*E25*IF(C25="firm",1,IF(C25="household",F25*Book!$C$2+G25*Book!$C$3+H25*Book!$C$4+I25*Book!$C$5,IF(C25="account",F25*Book!$I$2+G25*Book!$I$3+H25*Book!$I$4+I25*Book!$I$5,F25*Book!$J$2+G25*Book!$J$3+H25*Book!$J$4+I25*Book!$J$5)))</f>
        <v/>
      </c>
      <c r="N25" s="36">
        <f>M25/60*IF(K25="operations",1+Switching_Uplift,1)</f>
        <v/>
      </c>
    </row>
    <row r="26">
      <c r="A26" s="12" t="inlineStr">
        <is>
          <t>H4</t>
        </is>
      </c>
      <c r="B26" s="19" t="inlineStr">
        <is>
          <t>Meeting follow-up and task capture</t>
        </is>
      </c>
      <c r="C26" s="8" t="inlineStr">
        <is>
          <t>household</t>
        </is>
      </c>
      <c r="D26" s="11" t="n">
        <v>30</v>
      </c>
      <c r="E26" s="45" t="n">
        <v>1</v>
      </c>
      <c r="F26" s="21" t="n">
        <v>1</v>
      </c>
      <c r="G26" s="21" t="n">
        <v>1</v>
      </c>
      <c r="H26" s="21" t="n">
        <v>0</v>
      </c>
      <c r="I26" s="21" t="n">
        <v>0</v>
      </c>
      <c r="J26" s="8" t="inlineStr">
        <is>
          <t>R4</t>
        </is>
      </c>
      <c r="K26" s="8" t="inlineStr">
        <is>
          <t>operations</t>
        </is>
      </c>
      <c r="L26" s="23" t="inlineStr">
        <is>
          <t>PLACEHOLDER</t>
        </is>
      </c>
      <c r="M26" s="30">
        <f>D26*Efficiency*E26*IF(C26="firm",1,IF(C26="household",F26*Book!$C$2+G26*Book!$C$3+H26*Book!$C$4+I26*Book!$C$5,IF(C26="account",F26*Book!$I$2+G26*Book!$I$3+H26*Book!$I$4+I26*Book!$I$5,F26*Book!$J$2+G26*Book!$J$3+H26*Book!$J$4+I26*Book!$J$5)))</f>
        <v/>
      </c>
      <c r="N26" s="36">
        <f>M26/60*IF(K26="operations",1+Switching_Uplift,1)</f>
        <v/>
      </c>
    </row>
    <row r="27">
      <c r="A27" s="12" t="inlineStr">
        <is>
          <t>H5</t>
        </is>
      </c>
      <c r="B27" s="19" t="inlineStr">
        <is>
          <t>Meeting follow-up and task capture</t>
        </is>
      </c>
      <c r="C27" s="8" t="inlineStr">
        <is>
          <t>household</t>
        </is>
      </c>
      <c r="D27" s="11" t="n">
        <v>50</v>
      </c>
      <c r="E27" s="45" t="n">
        <v>2</v>
      </c>
      <c r="F27" s="21" t="n">
        <v>0</v>
      </c>
      <c r="G27" s="21" t="n">
        <v>0</v>
      </c>
      <c r="H27" s="21" t="n">
        <v>1</v>
      </c>
      <c r="I27" s="21" t="n">
        <v>1</v>
      </c>
      <c r="J27" s="8" t="inlineStr">
        <is>
          <t>R4</t>
        </is>
      </c>
      <c r="K27" s="8" t="inlineStr">
        <is>
          <t>operations</t>
        </is>
      </c>
      <c r="L27" s="23" t="inlineStr">
        <is>
          <t>PLACEHOLDER</t>
        </is>
      </c>
      <c r="M27" s="30">
        <f>D27*Efficiency*E27*IF(C27="firm",1,IF(C27="household",F27*Book!$C$2+G27*Book!$C$3+H27*Book!$C$4+I27*Book!$C$5,IF(C27="account",F27*Book!$I$2+G27*Book!$I$3+H27*Book!$I$4+I27*Book!$I$5,F27*Book!$J$2+G27*Book!$J$3+H27*Book!$J$4+I27*Book!$J$5)))</f>
        <v/>
      </c>
      <c r="N27" s="36">
        <f>M27/60*IF(K27="operations",1+Switching_Uplift,1)</f>
        <v/>
      </c>
    </row>
    <row r="28">
      <c r="A28" s="12" t="inlineStr">
        <is>
          <t>H6</t>
        </is>
      </c>
      <c r="B28" s="19" t="inlineStr">
        <is>
          <t>Quarterly report package delivery and questions</t>
        </is>
      </c>
      <c r="C28" s="8" t="inlineStr">
        <is>
          <t>household</t>
        </is>
      </c>
      <c r="D28" s="11" t="n">
        <v>15</v>
      </c>
      <c r="E28" s="45" t="n">
        <v>4</v>
      </c>
      <c r="F28" s="21" t="n">
        <v>0</v>
      </c>
      <c r="G28" s="21" t="n">
        <v>1</v>
      </c>
      <c r="H28" s="21" t="n">
        <v>1</v>
      </c>
      <c r="I28" s="21" t="n">
        <v>1</v>
      </c>
      <c r="J28" s="8" t="inlineStr">
        <is>
          <t>R5</t>
        </is>
      </c>
      <c r="K28" s="8" t="inlineStr">
        <is>
          <t>operations</t>
        </is>
      </c>
      <c r="L28" s="23" t="inlineStr">
        <is>
          <t>PLACEHOLDER</t>
        </is>
      </c>
      <c r="M28" s="30">
        <f>D28*Efficiency*E28*IF(C28="firm",1,IF(C28="household",F28*Book!$C$2+G28*Book!$C$3+H28*Book!$C$4+I28*Book!$C$5,IF(C28="account",F28*Book!$I$2+G28*Book!$I$3+H28*Book!$I$4+I28*Book!$I$5,F28*Book!$J$2+G28*Book!$J$3+H28*Book!$J$4+I28*Book!$J$5)))</f>
        <v/>
      </c>
      <c r="N28" s="36">
        <f>M28/60*IF(K28="operations",1+Switching_Uplift,1)</f>
        <v/>
      </c>
    </row>
    <row r="29">
      <c r="A29" s="12" t="inlineStr">
        <is>
          <t>H7</t>
        </is>
      </c>
      <c r="B29" s="19" t="inlineStr">
        <is>
          <t>Money movement and distribution requests</t>
        </is>
      </c>
      <c r="C29" s="8" t="inlineStr">
        <is>
          <t>household</t>
        </is>
      </c>
      <c r="D29" s="11" t="n">
        <v>18</v>
      </c>
      <c r="E29" s="45" t="n">
        <v>3</v>
      </c>
      <c r="F29" s="21" t="n">
        <v>1</v>
      </c>
      <c r="G29" s="21" t="n">
        <v>1</v>
      </c>
      <c r="H29" s="21" t="n">
        <v>1</v>
      </c>
      <c r="I29" s="21" t="n">
        <v>1</v>
      </c>
      <c r="J29" s="8" t="inlineStr">
        <is>
          <t>R5</t>
        </is>
      </c>
      <c r="K29" s="8" t="inlineStr">
        <is>
          <t>operations</t>
        </is>
      </c>
      <c r="L29" s="23" t="inlineStr">
        <is>
          <t>PLACEHOLDER</t>
        </is>
      </c>
      <c r="M29" s="30">
        <f>D29*Efficiency*E29*IF(C29="firm",1,IF(C29="household",F29*Book!$C$2+G29*Book!$C$3+H29*Book!$C$4+I29*Book!$C$5,IF(C29="account",F29*Book!$I$2+G29*Book!$I$3+H29*Book!$I$4+I29*Book!$I$5,F29*Book!$J$2+G29*Book!$J$3+H29*Book!$J$4+I29*Book!$J$5)))</f>
        <v/>
      </c>
      <c r="N29" s="36">
        <f>M29/60*IF(K29="operations",1+Switching_Uplift,1)</f>
        <v/>
      </c>
    </row>
    <row r="30">
      <c r="A30" s="12" t="inlineStr">
        <is>
          <t>H8</t>
        </is>
      </c>
      <c r="B30" s="19" t="inlineStr">
        <is>
          <t>RMD calculation, election and tracking</t>
        </is>
      </c>
      <c r="C30" s="8" t="inlineStr">
        <is>
          <t>household</t>
        </is>
      </c>
      <c r="D30" s="11" t="n">
        <v>35</v>
      </c>
      <c r="E30" s="45" t="n">
        <v>0.45</v>
      </c>
      <c r="F30" s="21" t="n">
        <v>0</v>
      </c>
      <c r="G30" s="21" t="n">
        <v>1</v>
      </c>
      <c r="H30" s="21" t="n">
        <v>1</v>
      </c>
      <c r="I30" s="21" t="n">
        <v>1</v>
      </c>
      <c r="J30" s="8" t="inlineStr">
        <is>
          <t>R7</t>
        </is>
      </c>
      <c r="K30" s="8" t="inlineStr">
        <is>
          <t>operations</t>
        </is>
      </c>
      <c r="L30" s="23" t="inlineStr">
        <is>
          <t>PLACEHOLDER</t>
        </is>
      </c>
      <c r="M30" s="30">
        <f>D30*Efficiency*E30*IF(C30="firm",1,IF(C30="household",F30*Book!$C$2+G30*Book!$C$3+H30*Book!$C$4+I30*Book!$C$5,IF(C30="account",F30*Book!$I$2+G30*Book!$I$3+H30*Book!$I$4+I30*Book!$I$5,F30*Book!$J$2+G30*Book!$J$3+H30*Book!$J$4+I30*Book!$J$5)))</f>
        <v/>
      </c>
      <c r="N30" s="36">
        <f>M30/60*IF(K30="operations",1+Switching_Uplift,1)</f>
        <v/>
      </c>
    </row>
    <row r="31">
      <c r="A31" s="12" t="inlineStr">
        <is>
          <t>H9</t>
        </is>
      </c>
      <c r="B31" s="19" t="inlineStr">
        <is>
          <t>Beneficiary review and account maintenance</t>
        </is>
      </c>
      <c r="C31" s="8" t="inlineStr">
        <is>
          <t>household</t>
        </is>
      </c>
      <c r="D31" s="11" t="n">
        <v>15</v>
      </c>
      <c r="E31" s="45" t="n">
        <v>0.5</v>
      </c>
      <c r="F31" s="21" t="n">
        <v>1</v>
      </c>
      <c r="G31" s="21" t="n">
        <v>1</v>
      </c>
      <c r="H31" s="21" t="n">
        <v>1</v>
      </c>
      <c r="I31" s="21" t="n">
        <v>1</v>
      </c>
      <c r="J31" s="8" t="inlineStr">
        <is>
          <t>R6</t>
        </is>
      </c>
      <c r="K31" s="8" t="inlineStr">
        <is>
          <t>operations</t>
        </is>
      </c>
      <c r="L31" s="23" t="inlineStr">
        <is>
          <t>PLACEHOLDER</t>
        </is>
      </c>
      <c r="M31" s="30">
        <f>D31*Efficiency*E31*IF(C31="firm",1,IF(C31="household",F31*Book!$C$2+G31*Book!$C$3+H31*Book!$C$4+I31*Book!$C$5,IF(C31="account",F31*Book!$I$2+G31*Book!$I$3+H31*Book!$I$4+I31*Book!$I$5,F31*Book!$J$2+G31*Book!$J$3+H31*Book!$J$4+I31*Book!$J$5)))</f>
        <v/>
      </c>
      <c r="N31" s="36">
        <f>M31/60*IF(K31="operations",1+Switching_Uplift,1)</f>
        <v/>
      </c>
    </row>
    <row r="32">
      <c r="A32" s="12" t="inlineStr">
        <is>
          <t>H10</t>
        </is>
      </c>
      <c r="B32" s="19" t="inlineStr">
        <is>
          <t>Ad hoc client service requests</t>
        </is>
      </c>
      <c r="C32" s="8" t="inlineStr">
        <is>
          <t>household</t>
        </is>
      </c>
      <c r="D32" s="11" t="n">
        <v>12</v>
      </c>
      <c r="E32" s="45" t="n">
        <v>6</v>
      </c>
      <c r="F32" s="21" t="n">
        <v>1</v>
      </c>
      <c r="G32" s="21" t="n">
        <v>1</v>
      </c>
      <c r="H32" s="21" t="n">
        <v>0</v>
      </c>
      <c r="I32" s="21" t="n">
        <v>0</v>
      </c>
      <c r="J32" s="8" t="inlineStr">
        <is>
          <t>R5</t>
        </is>
      </c>
      <c r="K32" s="8" t="inlineStr">
        <is>
          <t>operations</t>
        </is>
      </c>
      <c r="L32" s="23" t="inlineStr">
        <is>
          <t>PLACEHOLDER</t>
        </is>
      </c>
      <c r="M32" s="30">
        <f>D32*Efficiency*E32*IF(C32="firm",1,IF(C32="household",F32*Book!$C$2+G32*Book!$C$3+H32*Book!$C$4+I32*Book!$C$5,IF(C32="account",F32*Book!$I$2+G32*Book!$I$3+H32*Book!$I$4+I32*Book!$I$5,F32*Book!$J$2+G32*Book!$J$3+H32*Book!$J$4+I32*Book!$J$5)))</f>
        <v/>
      </c>
      <c r="N32" s="36">
        <f>M32/60*IF(K32="operations",1+Switching_Uplift,1)</f>
        <v/>
      </c>
    </row>
    <row r="33">
      <c r="A33" s="12" t="inlineStr">
        <is>
          <t>H11</t>
        </is>
      </c>
      <c r="B33" s="19" t="inlineStr">
        <is>
          <t>Ad hoc client service requests</t>
        </is>
      </c>
      <c r="C33" s="8" t="inlineStr">
        <is>
          <t>household</t>
        </is>
      </c>
      <c r="D33" s="11" t="n">
        <v>15</v>
      </c>
      <c r="E33" s="45" t="n">
        <v>14</v>
      </c>
      <c r="F33" s="21" t="n">
        <v>0</v>
      </c>
      <c r="G33" s="21" t="n">
        <v>0</v>
      </c>
      <c r="H33" s="21" t="n">
        <v>1</v>
      </c>
      <c r="I33" s="21" t="n">
        <v>1</v>
      </c>
      <c r="J33" s="8" t="inlineStr">
        <is>
          <t>R5</t>
        </is>
      </c>
      <c r="K33" s="8" t="inlineStr">
        <is>
          <t>operations</t>
        </is>
      </c>
      <c r="L33" s="23" t="inlineStr">
        <is>
          <t>PLACEHOLDER</t>
        </is>
      </c>
      <c r="M33" s="30">
        <f>D33*Efficiency*E33*IF(C33="firm",1,IF(C33="household",F33*Book!$C$2+G33*Book!$C$3+H33*Book!$C$4+I33*Book!$C$5,IF(C33="account",F33*Book!$I$2+G33*Book!$I$3+H33*Book!$I$4+I33*Book!$I$5,F33*Book!$J$2+G33*Book!$J$3+H33*Book!$J$4+I33*Book!$J$5)))</f>
        <v/>
      </c>
      <c r="N33" s="36">
        <f>M33/60*IF(K33="operations",1+Switching_Uplift,1)</f>
        <v/>
      </c>
    </row>
    <row r="34">
      <c r="A34" s="12" t="inlineStr">
        <is>
          <t>H12</t>
        </is>
      </c>
      <c r="B34" s="19" t="inlineStr">
        <is>
          <t>Death claim and estate transition</t>
        </is>
      </c>
      <c r="C34" s="8" t="inlineStr">
        <is>
          <t>household</t>
        </is>
      </c>
      <c r="D34" s="11" t="n">
        <v>420</v>
      </c>
      <c r="E34" s="45" t="n">
        <v>0.03</v>
      </c>
      <c r="F34" s="21" t="n">
        <v>1</v>
      </c>
      <c r="G34" s="21" t="n">
        <v>1</v>
      </c>
      <c r="H34" s="21" t="n">
        <v>1</v>
      </c>
      <c r="I34" s="21" t="n">
        <v>1</v>
      </c>
      <c r="J34" s="8" t="inlineStr">
        <is>
          <t>R7</t>
        </is>
      </c>
      <c r="K34" s="8" t="inlineStr">
        <is>
          <t>operations</t>
        </is>
      </c>
      <c r="L34" s="23" t="inlineStr">
        <is>
          <t>PLACEHOLDER</t>
        </is>
      </c>
      <c r="M34" s="30">
        <f>D34*Efficiency*E34*IF(C34="firm",1,IF(C34="household",F34*Book!$C$2+G34*Book!$C$3+H34*Book!$C$4+I34*Book!$C$5,IF(C34="account",F34*Book!$I$2+G34*Book!$I$3+H34*Book!$I$4+I34*Book!$I$5,F34*Book!$J$2+G34*Book!$J$3+H34*Book!$J$4+I34*Book!$J$5)))</f>
        <v/>
      </c>
      <c r="N34" s="36">
        <f>M34/60*IF(K34="operations",1+Switching_Uplift,1)</f>
        <v/>
      </c>
    </row>
    <row r="35">
      <c r="A35" s="12" t="inlineStr">
        <is>
          <t>H13</t>
        </is>
      </c>
      <c r="B35" s="19" t="inlineStr">
        <is>
          <t>Tax report and CPA coordination</t>
        </is>
      </c>
      <c r="C35" s="8" t="inlineStr">
        <is>
          <t>household</t>
        </is>
      </c>
      <c r="D35" s="11" t="n">
        <v>40</v>
      </c>
      <c r="E35" s="45" t="n">
        <v>1</v>
      </c>
      <c r="F35" s="21" t="n">
        <v>0</v>
      </c>
      <c r="G35" s="21" t="n">
        <v>0</v>
      </c>
      <c r="H35" s="21" t="n">
        <v>1</v>
      </c>
      <c r="I35" s="21" t="n">
        <v>1</v>
      </c>
      <c r="J35" s="8" t="inlineStr">
        <is>
          <t>R2</t>
        </is>
      </c>
      <c r="K35" s="8" t="inlineStr">
        <is>
          <t>operations</t>
        </is>
      </c>
      <c r="L35" s="23" t="inlineStr">
        <is>
          <t>PLACEHOLDER</t>
        </is>
      </c>
      <c r="M35" s="30">
        <f>D35*Efficiency*E35*IF(C35="firm",1,IF(C35="household",F35*Book!$C$2+G35*Book!$C$3+H35*Book!$C$4+I35*Book!$C$5,IF(C35="account",F35*Book!$I$2+G35*Book!$I$3+H35*Book!$I$4+I35*Book!$I$5,F35*Book!$J$2+G35*Book!$J$3+H35*Book!$J$4+I35*Book!$J$5)))</f>
        <v/>
      </c>
      <c r="N35" s="36">
        <f>M35/60*IF(K35="operations",1+Switching_Uplift,1)</f>
        <v/>
      </c>
    </row>
    <row r="36">
      <c r="A36" s="12" t="inlineStr">
        <is>
          <t>H14</t>
        </is>
      </c>
      <c r="B36" s="19" t="inlineStr">
        <is>
          <t>Held-away account data refresh</t>
        </is>
      </c>
      <c r="C36" s="8" t="inlineStr">
        <is>
          <t>household</t>
        </is>
      </c>
      <c r="D36" s="11" t="n">
        <v>20</v>
      </c>
      <c r="E36" s="45" t="n">
        <v>4</v>
      </c>
      <c r="F36" s="21" t="n">
        <v>0</v>
      </c>
      <c r="G36" s="21" t="n">
        <v>0</v>
      </c>
      <c r="H36" s="21" t="n">
        <v>1</v>
      </c>
      <c r="I36" s="21" t="n">
        <v>1</v>
      </c>
      <c r="J36" s="8" t="inlineStr">
        <is>
          <t>R3</t>
        </is>
      </c>
      <c r="K36" s="8" t="inlineStr">
        <is>
          <t>operations</t>
        </is>
      </c>
      <c r="L36" s="23" t="inlineStr">
        <is>
          <t>PLACEHOLDER</t>
        </is>
      </c>
      <c r="M36" s="30">
        <f>D36*Efficiency*E36*IF(C36="firm",1,IF(C36="household",F36*Book!$C$2+G36*Book!$C$3+H36*Book!$C$4+I36*Book!$C$5,IF(C36="account",F36*Book!$I$2+G36*Book!$I$3+H36*Book!$I$4+I36*Book!$I$5,F36*Book!$J$2+G36*Book!$J$3+H36*Book!$J$4+I36*Book!$J$5)))</f>
        <v/>
      </c>
      <c r="N36" s="36">
        <f>M36/60*IF(K36="operations",1+Switching_Uplift,1)</f>
        <v/>
      </c>
    </row>
    <row r="37">
      <c r="A37" s="12" t="inlineStr">
        <is>
          <t>H15</t>
        </is>
      </c>
      <c r="B37" s="19" t="inlineStr">
        <is>
          <t>Client requests routed to an advisor instead of service</t>
        </is>
      </c>
      <c r="C37" s="8" t="inlineStr">
        <is>
          <t>household</t>
        </is>
      </c>
      <c r="D37" s="11" t="n">
        <v>10</v>
      </c>
      <c r="E37" s="45" t="n">
        <v>5</v>
      </c>
      <c r="F37" s="21" t="n">
        <v>1</v>
      </c>
      <c r="G37" s="21" t="n">
        <v>1</v>
      </c>
      <c r="H37" s="21" t="n">
        <v>1</v>
      </c>
      <c r="I37" s="21" t="n">
        <v>1</v>
      </c>
      <c r="J37" s="8" t="inlineStr">
        <is>
          <t>R1</t>
        </is>
      </c>
      <c r="K37" s="8" t="inlineStr">
        <is>
          <t>operations</t>
        </is>
      </c>
      <c r="L37" s="23" t="inlineStr">
        <is>
          <t>PLACEHOLDER</t>
        </is>
      </c>
      <c r="M37" s="30">
        <f>D37*Efficiency*E37*IF(C37="firm",1,IF(C37="household",F37*Book!$C$2+G37*Book!$C$3+H37*Book!$C$4+I37*Book!$C$5,IF(C37="account",F37*Book!$I$2+G37*Book!$I$3+H37*Book!$I$4+I37*Book!$I$5,F37*Book!$J$2+G37*Book!$J$3+H37*Book!$J$4+I37*Book!$J$5)))</f>
        <v/>
      </c>
      <c r="N37" s="36">
        <f>M37/60*IF(K37="operations",1+Switching_Uplift,1)</f>
        <v/>
      </c>
    </row>
    <row r="38">
      <c r="A38" s="12" t="inlineStr">
        <is>
          <t>V1</t>
        </is>
      </c>
      <c r="B38" s="19" t="inlineStr">
        <is>
          <t>Client meeting delivery</t>
        </is>
      </c>
      <c r="C38" s="8" t="inlineStr">
        <is>
          <t>household</t>
        </is>
      </c>
      <c r="D38" s="11" t="n">
        <v>60</v>
      </c>
      <c r="E38" s="45" t="n">
        <v>1</v>
      </c>
      <c r="F38" s="21" t="n">
        <v>1</v>
      </c>
      <c r="G38" s="21" t="n">
        <v>1</v>
      </c>
      <c r="H38" s="21" t="n">
        <v>0</v>
      </c>
      <c r="I38" s="21" t="n">
        <v>0</v>
      </c>
      <c r="J38" s="8" t="inlineStr">
        <is>
          <t>R2</t>
        </is>
      </c>
      <c r="K38" s="8" t="inlineStr">
        <is>
          <t>advisory</t>
        </is>
      </c>
      <c r="L38" s="23" t="inlineStr">
        <is>
          <t>PLACEHOLDER</t>
        </is>
      </c>
      <c r="M38" s="30">
        <f>D38*Efficiency*E38*IF(C38="firm",1,IF(C38="household",F38*Book!$C$2+G38*Book!$C$3+H38*Book!$C$4+I38*Book!$C$5,IF(C38="account",F38*Book!$I$2+G38*Book!$I$3+H38*Book!$I$4+I38*Book!$I$5,F38*Book!$J$2+G38*Book!$J$3+H38*Book!$J$4+I38*Book!$J$5)))</f>
        <v/>
      </c>
      <c r="N38" s="36">
        <f>M38/60*IF(K38="operations",1+Switching_Uplift,1)</f>
        <v/>
      </c>
    </row>
    <row r="39">
      <c r="A39" s="12" t="inlineStr">
        <is>
          <t>V2</t>
        </is>
      </c>
      <c r="B39" s="19" t="inlineStr">
        <is>
          <t>Client meeting delivery</t>
        </is>
      </c>
      <c r="C39" s="8" t="inlineStr">
        <is>
          <t>household</t>
        </is>
      </c>
      <c r="D39" s="11" t="n">
        <v>90</v>
      </c>
      <c r="E39" s="45" t="n">
        <v>2</v>
      </c>
      <c r="F39" s="21" t="n">
        <v>0</v>
      </c>
      <c r="G39" s="21" t="n">
        <v>0</v>
      </c>
      <c r="H39" s="21" t="n">
        <v>1</v>
      </c>
      <c r="I39" s="21" t="n">
        <v>1</v>
      </c>
      <c r="J39" s="8" t="inlineStr">
        <is>
          <t>R1</t>
        </is>
      </c>
      <c r="K39" s="8" t="inlineStr">
        <is>
          <t>advisory</t>
        </is>
      </c>
      <c r="L39" s="23" t="inlineStr">
        <is>
          <t>PLACEHOLDER</t>
        </is>
      </c>
      <c r="M39" s="30">
        <f>D39*Efficiency*E39*IF(C39="firm",1,IF(C39="household",F39*Book!$C$2+G39*Book!$C$3+H39*Book!$C$4+I39*Book!$C$5,IF(C39="account",F39*Book!$I$2+G39*Book!$I$3+H39*Book!$I$4+I39*Book!$I$5,F39*Book!$J$2+G39*Book!$J$3+H39*Book!$J$4+I39*Book!$J$5)))</f>
        <v/>
      </c>
      <c r="N39" s="36">
        <f>M39/60*IF(K39="operations",1+Switching_Uplift,1)</f>
        <v/>
      </c>
    </row>
    <row r="40">
      <c r="A40" s="12" t="inlineStr">
        <is>
          <t>V3</t>
        </is>
      </c>
      <c r="B40" s="19" t="inlineStr">
        <is>
          <t>Planning work and recommendations</t>
        </is>
      </c>
      <c r="C40" s="8" t="inlineStr">
        <is>
          <t>household</t>
        </is>
      </c>
      <c r="D40" s="11" t="n">
        <v>45</v>
      </c>
      <c r="E40" s="45" t="n">
        <v>1</v>
      </c>
      <c r="F40" s="21" t="n">
        <v>1</v>
      </c>
      <c r="G40" s="21" t="n">
        <v>0</v>
      </c>
      <c r="H40" s="21" t="n">
        <v>0</v>
      </c>
      <c r="I40" s="21" t="n">
        <v>0</v>
      </c>
      <c r="J40" s="8" t="inlineStr">
        <is>
          <t>R2</t>
        </is>
      </c>
      <c r="K40" s="8" t="inlineStr">
        <is>
          <t>advisory</t>
        </is>
      </c>
      <c r="L40" s="23" t="inlineStr">
        <is>
          <t>PLACEHOLDER</t>
        </is>
      </c>
      <c r="M40" s="30">
        <f>D40*Efficiency*E40*IF(C40="firm",1,IF(C40="household",F40*Book!$C$2+G40*Book!$C$3+H40*Book!$C$4+I40*Book!$C$5,IF(C40="account",F40*Book!$I$2+G40*Book!$I$3+H40*Book!$I$4+I40*Book!$I$5,F40*Book!$J$2+G40*Book!$J$3+H40*Book!$J$4+I40*Book!$J$5)))</f>
        <v/>
      </c>
      <c r="N40" s="36">
        <f>M40/60*IF(K40="operations",1+Switching_Uplift,1)</f>
        <v/>
      </c>
    </row>
    <row r="41">
      <c r="A41" s="12" t="inlineStr">
        <is>
          <t>V4</t>
        </is>
      </c>
      <c r="B41" s="19" t="inlineStr">
        <is>
          <t>Planning work and recommendations</t>
        </is>
      </c>
      <c r="C41" s="8" t="inlineStr">
        <is>
          <t>household</t>
        </is>
      </c>
      <c r="D41" s="11" t="n">
        <v>120</v>
      </c>
      <c r="E41" s="45" t="n">
        <v>1</v>
      </c>
      <c r="F41" s="21" t="n">
        <v>0</v>
      </c>
      <c r="G41" s="21" t="n">
        <v>1</v>
      </c>
      <c r="H41" s="21" t="n">
        <v>0</v>
      </c>
      <c r="I41" s="21" t="n">
        <v>0</v>
      </c>
      <c r="J41" s="8" t="inlineStr">
        <is>
          <t>R2</t>
        </is>
      </c>
      <c r="K41" s="8" t="inlineStr">
        <is>
          <t>advisory</t>
        </is>
      </c>
      <c r="L41" s="23" t="inlineStr">
        <is>
          <t>PLACEHOLDER</t>
        </is>
      </c>
      <c r="M41" s="30">
        <f>D41*Efficiency*E41*IF(C41="firm",1,IF(C41="household",F41*Book!$C$2+G41*Book!$C$3+H41*Book!$C$4+I41*Book!$C$5,IF(C41="account",F41*Book!$I$2+G41*Book!$I$3+H41*Book!$I$4+I41*Book!$I$5,F41*Book!$J$2+G41*Book!$J$3+H41*Book!$J$4+I41*Book!$J$5)))</f>
        <v/>
      </c>
      <c r="N41" s="36">
        <f>M41/60*IF(K41="operations",1+Switching_Uplift,1)</f>
        <v/>
      </c>
    </row>
    <row r="42">
      <c r="A42" s="12" t="inlineStr">
        <is>
          <t>V5</t>
        </is>
      </c>
      <c r="B42" s="19" t="inlineStr">
        <is>
          <t>Planning work and recommendations</t>
        </is>
      </c>
      <c r="C42" s="8" t="inlineStr">
        <is>
          <t>household</t>
        </is>
      </c>
      <c r="D42" s="11" t="n">
        <v>240</v>
      </c>
      <c r="E42" s="45" t="n">
        <v>1</v>
      </c>
      <c r="F42" s="21" t="n">
        <v>0</v>
      </c>
      <c r="G42" s="21" t="n">
        <v>0</v>
      </c>
      <c r="H42" s="21" t="n">
        <v>1</v>
      </c>
      <c r="I42" s="21" t="n">
        <v>1</v>
      </c>
      <c r="J42" s="8" t="inlineStr">
        <is>
          <t>R1</t>
        </is>
      </c>
      <c r="K42" s="8" t="inlineStr">
        <is>
          <t>advisory</t>
        </is>
      </c>
      <c r="L42" s="23" t="inlineStr">
        <is>
          <t>PLACEHOLDER</t>
        </is>
      </c>
      <c r="M42" s="30">
        <f>D42*Efficiency*E42*IF(C42="firm",1,IF(C42="household",F42*Book!$C$2+G42*Book!$C$3+H42*Book!$C$4+I42*Book!$C$5,IF(C42="account",F42*Book!$I$2+G42*Book!$I$3+H42*Book!$I$4+I42*Book!$I$5,F42*Book!$J$2+G42*Book!$J$3+H42*Book!$J$4+I42*Book!$J$5)))</f>
        <v/>
      </c>
      <c r="N42" s="36">
        <f>M42/60*IF(K42="operations",1+Switching_Uplift,1)</f>
        <v/>
      </c>
    </row>
    <row r="44">
      <c r="B44" s="10" t="inlineStr">
        <is>
          <t>Total operations hours a year</t>
        </is>
      </c>
      <c r="N44" s="39">
        <f>SUMPRODUCT((K2:K42="operations")*N2:N42)</f>
        <v/>
      </c>
    </row>
    <row r="46" ht="30" customHeight="1">
      <c r="B46" s="13" t="inlineStr">
        <is>
          <t>Every row is seeded PLACEHOLDER. The shape of the catalogue is real RIA operations work; the minutes are not. Replace each figure with a median of three timed runs and change the tag to MEASURED. That column is the strongest evidence in this model.</t>
        </is>
      </c>
    </row>
  </sheetData>
  <dataValidations count="3">
    <dataValidation sqref="L2 L3 L4 L5 L6 L7 L8 L9 L10 L11 L12 L13 L14 L15 L16 L17 L18 L19 L20 L21 L22 L23 L24 L25 L26 L27 L28 L29 L30 L31 L32 L33 L34 L35 L36 L37 L38 L39 L40 L41 L42" showDropDown="0" showInputMessage="0" showErrorMessage="0" allowBlank="0" errorTitle="Provenance required" error="Provenance cannot be blank. Time it, or leave it PLACEHOLDER." type="list">
      <formula1>"MEASURED,OBSERVED,BENCHMARK,ESTIMATED,PLACEHOLDER"</formula1>
    </dataValidation>
    <dataValidation sqref="C2 C3 C4 C5 C6 C7 C8 C9 C10 C11 C12 C13 C14 C15 C16 C17 C18 C19 C20 C21 C22 C23 C24 C25 C26 C27 C28 C29 C30 C31 C32 C33 C34 C35 C36 C37 C38 C39 C40 C41 C42" showDropDown="0" showInputMessage="0" showErrorMessage="0" allowBlank="0" type="list">
      <formula1>"firm,household,account,new_household"</formula1>
    </dataValidation>
    <dataValidation sqref="K2 K3 K4 K5 K6 K7 K8 K9 K10 K11 K12 K13 K14 K15 K16 K17 K18 K19 K20 K21 K22 K23 K24 K25 K26 K27 K28 K29 K30 K31 K32 K33 K34 K35 K36 K37 K38 K39 K40 K41 K42" showDropDown="0" showInputMessage="0" showErrorMessage="0" allowBlank="0" type="list">
      <formula1>"operations,advisory"</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60"/>
  <sheetViews>
    <sheetView showGridLines="0" workbookViewId="0">
      <pane xSplit="1" ySplit="3" topLeftCell="B4" activePane="bottomRight" state="frozen"/>
      <selection pane="topRight"/>
      <selection pane="bottomLeft"/>
      <selection pane="bottomRight" activeCell="A1" sqref="A1"/>
    </sheetView>
  </sheetViews>
  <sheetFormatPr baseColWidth="8" defaultRowHeight="15"/>
  <cols>
    <col width="46" customWidth="1" min="1" max="1"/>
    <col width="17" customWidth="1" min="2" max="2"/>
    <col width="17" customWidth="1" min="3" max="3"/>
    <col width="17" customWidth="1" min="4" max="4"/>
    <col width="17" customWidth="1" min="5" max="5"/>
    <col width="66" customWidth="1" min="6" max="6"/>
  </cols>
  <sheetData>
    <row r="1">
      <c r="A1" s="1" t="inlineStr">
        <is>
          <t>ENGINE</t>
        </is>
      </c>
    </row>
    <row r="2">
      <c r="A2" s="2" t="inlineStr">
        <is>
          <t>Every cell on this sheet is a formula. There are no typed numbers here — if one appears, it is a bug.</t>
        </is>
      </c>
    </row>
    <row r="5">
      <c r="A5" s="46" t="inlineStr">
        <is>
          <t>RATES</t>
        </is>
      </c>
      <c r="B5" s="47" t="inlineStr"/>
      <c r="C5" s="47" t="inlineStr"/>
      <c r="D5" s="47" t="inlineStr"/>
      <c r="E5" s="47" t="inlineStr"/>
      <c r="F5" s="47" t="inlineStr"/>
    </row>
    <row r="6">
      <c r="A6" s="19" t="inlineStr">
        <is>
          <t>Blended operations $ per hour</t>
        </is>
      </c>
      <c r="B6" s="35">
        <f>IFERROR(SUMPRODUCT(Roster_OpsHours,Roster_Hourly)/SUM(Roster_OpsHours),0)</f>
        <v/>
      </c>
      <c r="F6" s="13" t="inlineStr">
        <is>
          <t>Weighted by the hours each operations role actually gives to operations.</t>
        </is>
      </c>
    </row>
    <row r="7">
      <c r="A7" s="19" t="inlineStr">
        <is>
          <t>Advisor loaded $ per hour</t>
        </is>
      </c>
      <c r="B7" s="35">
        <f>IFERROR(SUMPRODUCT(Roster_Adv,Roster_Active,Roster_Loaded)/(SUMPRODUCT(Roster_Adv,Roster_Active,Roster_FTE)*Productive_Hours),0)</f>
        <v/>
      </c>
      <c r="F7" s="13" t="inlineStr">
        <is>
          <t>What an advisor hour COSTS. Used for case 4 on purpose.</t>
        </is>
      </c>
    </row>
    <row r="8">
      <c r="A8" s="19" t="inlineStr">
        <is>
          <t>Revenue per advisor hour</t>
        </is>
      </c>
      <c r="B8" s="35">
        <f>IFERROR(Revenue_Total/(SUMPRODUCT(Roster_Adv,Roster_Active,Roster_FTE)*Productive_Hours),0)</f>
        <v/>
      </c>
      <c r="F8" s="13" t="inlineStr">
        <is>
          <t>What an advisor hour EARNS. Larger, and it invites the challenge that the hour would not have been sold.</t>
        </is>
      </c>
    </row>
    <row r="10">
      <c r="A10" s="46" t="inlineStr">
        <is>
          <t>BOOK AND REVENUE</t>
        </is>
      </c>
      <c r="B10" s="47" t="inlineStr"/>
      <c r="C10" s="47" t="inlineStr"/>
      <c r="D10" s="47" t="inlineStr"/>
      <c r="E10" s="47" t="inlineStr"/>
      <c r="F10" s="47" t="inlineStr"/>
    </row>
    <row r="11">
      <c r="A11" s="19" t="inlineStr">
        <is>
          <t>Total households</t>
        </is>
      </c>
      <c r="B11" s="30">
        <f>Total_HH</f>
        <v/>
      </c>
    </row>
    <row r="12">
      <c r="A12" s="19" t="inlineStr">
        <is>
          <t>Total AUM</t>
        </is>
      </c>
      <c r="B12" s="34">
        <f>AUM_Total</f>
        <v/>
      </c>
    </row>
    <row r="13">
      <c r="A13" s="19" t="inlineStr">
        <is>
          <t>New households per year</t>
        </is>
      </c>
      <c r="B13" s="36">
        <f>Total_HH*Growth_Rate</f>
        <v/>
      </c>
    </row>
    <row r="14">
      <c r="A14" s="19" t="inlineStr">
        <is>
          <t>Revenue at the fee schedule</t>
        </is>
      </c>
      <c r="B14" s="34">
        <f>Revenue_Total</f>
        <v/>
      </c>
    </row>
    <row r="15">
      <c r="A15" s="19" t="inlineStr">
        <is>
          <t>Revenue per household</t>
        </is>
      </c>
      <c r="B15" s="34">
        <f>IFERROR(Revenue_Total/Total_HH,0)</f>
        <v/>
      </c>
    </row>
    <row r="16">
      <c r="A16" s="19" t="inlineStr">
        <is>
          <t>Advisor count</t>
        </is>
      </c>
      <c r="B16" s="30">
        <f>SUMPRODUCT(Roster_Adv,Roster_Active)</f>
        <v/>
      </c>
    </row>
    <row r="17">
      <c r="A17" s="19" t="inlineStr">
        <is>
          <t>Revenue per advisor</t>
        </is>
      </c>
      <c r="B17" s="34">
        <f>IFERROR(Revenue_Total/B16,0)</f>
        <v/>
      </c>
    </row>
    <row r="18">
      <c r="A18" s="19" t="inlineStr">
        <is>
          <t>Revenue per employee (per FTE)</t>
        </is>
      </c>
      <c r="B18" s="34">
        <f>IFERROR(Revenue_Total/Total_FTE,0)</f>
        <v/>
      </c>
    </row>
    <row r="20">
      <c r="A20" s="46" t="inlineStr">
        <is>
          <t>OPERATIONS HOURS PER YEAR</t>
        </is>
      </c>
      <c r="B20" s="47" t="inlineStr"/>
      <c r="C20" s="47" t="inlineStr"/>
      <c r="D20" s="47" t="inlineStr"/>
      <c r="E20" s="47" t="inlineStr"/>
      <c r="F20" s="47" t="inlineStr"/>
    </row>
    <row r="21">
      <c r="A21" s="19" t="inlineStr">
        <is>
          <t>Recurring (household and account work)</t>
        </is>
      </c>
      <c r="B21" s="36">
        <f>SUMPRODUCT((Tasks_WT="operations")*((Tasks_Basis="household")+(Tasks_Basis="account"))*Tasks_Hours)</f>
        <v/>
      </c>
    </row>
    <row r="22">
      <c r="A22" s="19" t="inlineStr">
        <is>
          <t>Onboarding (scales with growth, not the book)</t>
        </is>
      </c>
      <c r="B22" s="36">
        <f>SUMPRODUCT((Tasks_WT="operations")*(Tasks_Basis="new_household")*Tasks_Hours)</f>
        <v/>
      </c>
    </row>
    <row r="23">
      <c r="A23" s="19" t="inlineStr">
        <is>
          <t>Firm-level (does not scale with households)</t>
        </is>
      </c>
      <c r="B23" s="36">
        <f>SUMPRODUCT((Tasks_WT="operations")*(Tasks_Basis="firm")*Tasks_Hours)</f>
        <v/>
      </c>
    </row>
    <row r="24">
      <c r="A24" s="19" t="inlineStr">
        <is>
          <t>TOTAL REQUIRED</t>
        </is>
      </c>
      <c r="B24" s="36">
        <f>B21+B22+B23</f>
        <v/>
      </c>
    </row>
    <row r="25">
      <c r="A25" s="19" t="inlineStr">
        <is>
          <t>TOTAL AVAILABLE</t>
        </is>
      </c>
      <c r="B25" s="36">
        <f>Ops_Hours_Available</f>
        <v/>
      </c>
    </row>
    <row r="26">
      <c r="A26" s="19" t="inlineStr">
        <is>
          <t>UTILISATION</t>
        </is>
      </c>
      <c r="B26" s="33">
        <f>IFERROR(B24/B25,0)</f>
        <v/>
      </c>
      <c r="F26" s="13" t="inlineStr">
        <is>
          <t>Over 100% means there is more operations work than the operations team can hold.</t>
        </is>
      </c>
    </row>
    <row r="28">
      <c r="A28" s="46" t="inlineStr">
        <is>
          <t>WHERE THE OPERATIONS WORK SITS TODAY</t>
        </is>
      </c>
      <c r="B28" s="47" t="inlineStr"/>
      <c r="C28" s="47" t="inlineStr"/>
      <c r="D28" s="47" t="inlineStr"/>
      <c r="E28" s="47" t="inlineStr"/>
      <c r="F28" s="47" t="inlineStr"/>
    </row>
    <row r="29">
      <c r="A29" s="19" t="inlineStr">
        <is>
          <t>Hours owned by R1</t>
        </is>
      </c>
      <c r="B29" s="36">
        <f>SUMPRODUCT((Tasks_WT="operations")*(Tasks_Owner="R1")*Tasks_Hours)</f>
        <v/>
      </c>
    </row>
    <row r="30">
      <c r="A30" s="19" t="inlineStr">
        <is>
          <t>Hours owned by R2</t>
        </is>
      </c>
      <c r="B30" s="36">
        <f>SUMPRODUCT((Tasks_WT="operations")*(Tasks_Owner="R2")*Tasks_Hours)</f>
        <v/>
      </c>
    </row>
    <row r="31">
      <c r="A31" s="19" t="inlineStr">
        <is>
          <t>Hours owned by R3</t>
        </is>
      </c>
      <c r="B31" s="36">
        <f>SUMPRODUCT((Tasks_WT="operations")*(Tasks_Owner="R3")*Tasks_Hours)</f>
        <v/>
      </c>
    </row>
    <row r="32">
      <c r="A32" s="19" t="inlineStr">
        <is>
          <t>Hours owned by R4</t>
        </is>
      </c>
      <c r="B32" s="36">
        <f>SUMPRODUCT((Tasks_WT="operations")*(Tasks_Owner="R4")*Tasks_Hours)</f>
        <v/>
      </c>
    </row>
    <row r="33">
      <c r="A33" s="19" t="inlineStr">
        <is>
          <t>Hours owned by R5</t>
        </is>
      </c>
      <c r="B33" s="36">
        <f>SUMPRODUCT((Tasks_WT="operations")*(Tasks_Owner="R5")*Tasks_Hours)</f>
        <v/>
      </c>
    </row>
    <row r="34">
      <c r="A34" s="19" t="inlineStr">
        <is>
          <t>Hours owned by R6</t>
        </is>
      </c>
      <c r="B34" s="36">
        <f>SUMPRODUCT((Tasks_WT="operations")*(Tasks_Owner="R6")*Tasks_Hours)</f>
        <v/>
      </c>
    </row>
    <row r="35">
      <c r="A35" s="19" t="inlineStr">
        <is>
          <t>Hours owned by R7</t>
        </is>
      </c>
      <c r="B35" s="36">
        <f>SUMPRODUCT((Tasks_WT="operations")*(Tasks_Owner="R7")*Tasks_Hours)</f>
        <v/>
      </c>
    </row>
    <row r="36">
      <c r="A36" s="19" t="inlineStr">
        <is>
          <t>Operations work sitting on advisors</t>
        </is>
      </c>
      <c r="B36" s="36">
        <f>B29+B30+B31</f>
        <v/>
      </c>
      <c r="F36" s="13" t="inlineStr">
        <is>
          <t>Operations work an advisor currently does. This is what an operations seat moves.</t>
        </is>
      </c>
    </row>
    <row r="38">
      <c r="A38" s="46" t="inlineStr">
        <is>
          <t>PER TIER</t>
        </is>
      </c>
      <c r="B38" s="47" t="inlineStr"/>
      <c r="C38" s="47" t="inlineStr"/>
      <c r="D38" s="47" t="inlineStr"/>
      <c r="E38" s="47" t="inlineStr"/>
      <c r="F38" s="47" t="inlineStr"/>
    </row>
    <row r="39">
      <c r="A39" s="47" t="inlineStr"/>
      <c r="B39" s="46" t="inlineStr">
        <is>
          <t>T1</t>
        </is>
      </c>
      <c r="C39" s="46" t="inlineStr">
        <is>
          <t>T2</t>
        </is>
      </c>
      <c r="D39" s="46" t="inlineStr">
        <is>
          <t>T3</t>
        </is>
      </c>
      <c r="E39" s="46" t="inlineStr">
        <is>
          <t>T4</t>
        </is>
      </c>
      <c r="F39" s="47" t="inlineStr"/>
    </row>
    <row r="40">
      <c r="A40" s="19" t="inlineStr">
        <is>
          <t>Share of the book</t>
        </is>
      </c>
      <c r="B40" s="33">
        <f>Book!C2/Total_HH</f>
        <v/>
      </c>
      <c r="C40" s="33">
        <f>Book!C3/Total_HH</f>
        <v/>
      </c>
      <c r="D40" s="33">
        <f>Book!C4/Total_HH</f>
        <v/>
      </c>
      <c r="E40" s="33">
        <f>Book!C5/Total_HH</f>
        <v/>
      </c>
    </row>
    <row r="41">
      <c r="A41" s="19" t="inlineStr">
        <is>
          <t>Recurring operations minutes per household</t>
        </is>
      </c>
      <c r="B41" s="30">
        <f>SUMPRODUCT((Tasks_WT="operations")*(Tasks_Basis="household")*Tasks_A1*Tasks_Min*Efficiency*Tasks_Occ)+SUMPRODUCT((Tasks_WT="operations")*(Tasks_Basis="account")*Tasks_A1*Tasks_Min*Efficiency*Tasks_Occ)*Book!E2</f>
        <v/>
      </c>
      <c r="C41" s="30">
        <f>SUMPRODUCT((Tasks_WT="operations")*(Tasks_Basis="household")*Tasks_A2*Tasks_Min*Efficiency*Tasks_Occ)+SUMPRODUCT((Tasks_WT="operations")*(Tasks_Basis="account")*Tasks_A2*Tasks_Min*Efficiency*Tasks_Occ)*Book!E3</f>
        <v/>
      </c>
      <c r="D41" s="30">
        <f>SUMPRODUCT((Tasks_WT="operations")*(Tasks_Basis="household")*Tasks_A3*Tasks_Min*Efficiency*Tasks_Occ)+SUMPRODUCT((Tasks_WT="operations")*(Tasks_Basis="account")*Tasks_A3*Tasks_Min*Efficiency*Tasks_Occ)*Book!E4</f>
        <v/>
      </c>
      <c r="E41" s="30">
        <f>SUMPRODUCT((Tasks_WT="operations")*(Tasks_Basis="household")*Tasks_A4*Tasks_Min*Efficiency*Tasks_Occ)+SUMPRODUCT((Tasks_WT="operations")*(Tasks_Basis="account")*Tasks_A4*Tasks_Min*Efficiency*Tasks_Occ)*Book!E5</f>
        <v/>
      </c>
    </row>
    <row r="42">
      <c r="A42" s="19" t="inlineStr">
        <is>
          <t>Onboarding operations minutes per new household</t>
        </is>
      </c>
      <c r="B42" s="30">
        <f>SUMPRODUCT((Tasks_WT="operations")*(Tasks_Basis="new_household")*Tasks_A1*Tasks_Min*Efficiency*Tasks_Occ)</f>
        <v/>
      </c>
      <c r="C42" s="30">
        <f>SUMPRODUCT((Tasks_WT="operations")*(Tasks_Basis="new_household")*Tasks_A2*Tasks_Min*Efficiency*Tasks_Occ)</f>
        <v/>
      </c>
      <c r="D42" s="30">
        <f>SUMPRODUCT((Tasks_WT="operations")*(Tasks_Basis="new_household")*Tasks_A3*Tasks_Min*Efficiency*Tasks_Occ)</f>
        <v/>
      </c>
      <c r="E42" s="30">
        <f>SUMPRODUCT((Tasks_WT="operations")*(Tasks_Basis="new_household")*Tasks_A4*Tasks_Min*Efficiency*Tasks_Occ)</f>
        <v/>
      </c>
    </row>
    <row r="43">
      <c r="A43" s="19" t="inlineStr">
        <is>
          <t>Advisory minutes per household</t>
        </is>
      </c>
      <c r="B43" s="30">
        <f>SUMPRODUCT((Tasks_WT="advisory")*(Tasks_Basis="household")*Tasks_A1*Tasks_Min*Efficiency*Tasks_Occ)+SUMPRODUCT((Tasks_WT="advisory")*(Tasks_Basis="account")*Tasks_A1*Tasks_Min*Efficiency*Tasks_Occ)*Book!E2</f>
        <v/>
      </c>
      <c r="C43" s="30">
        <f>SUMPRODUCT((Tasks_WT="advisory")*(Tasks_Basis="household")*Tasks_A2*Tasks_Min*Efficiency*Tasks_Occ)+SUMPRODUCT((Tasks_WT="advisory")*(Tasks_Basis="account")*Tasks_A2*Tasks_Min*Efficiency*Tasks_Occ)*Book!E3</f>
        <v/>
      </c>
      <c r="D43" s="30">
        <f>SUMPRODUCT((Tasks_WT="advisory")*(Tasks_Basis="household")*Tasks_A3*Tasks_Min*Efficiency*Tasks_Occ)+SUMPRODUCT((Tasks_WT="advisory")*(Tasks_Basis="account")*Tasks_A3*Tasks_Min*Efficiency*Tasks_Occ)*Book!E4</f>
        <v/>
      </c>
      <c r="E43" s="30">
        <f>SUMPRODUCT((Tasks_WT="advisory")*(Tasks_Basis="household")*Tasks_A4*Tasks_Min*Efficiency*Tasks_Occ)+SUMPRODUCT((Tasks_WT="advisory")*(Tasks_Basis="account")*Tasks_A4*Tasks_Min*Efficiency*Tasks_Occ)*Book!E5</f>
        <v/>
      </c>
      <c r="F43" s="13" t="inlineStr">
        <is>
          <t>Advisory work never counts against operations capacity. It is here only for the fully loaded cost to serve.</t>
        </is>
      </c>
    </row>
    <row r="44">
      <c r="A44" s="19" t="inlineStr">
        <is>
          <t>Direct operations hours per household</t>
        </is>
      </c>
      <c r="B44" s="36">
        <f>B41/60*(1+Switching_Uplift)</f>
        <v/>
      </c>
      <c r="C44" s="36">
        <f>C41/60*(1+Switching_Uplift)</f>
        <v/>
      </c>
      <c r="D44" s="36">
        <f>D41/60*(1+Switching_Uplift)</f>
        <v/>
      </c>
      <c r="E44" s="36">
        <f>E41/60*(1+Switching_Uplift)</f>
        <v/>
      </c>
    </row>
    <row r="45">
      <c r="A45" s="19" t="inlineStr">
        <is>
          <t>Layer 1 — direct operations cost</t>
        </is>
      </c>
      <c r="B45" s="34">
        <f>B44*B6</f>
        <v/>
      </c>
      <c r="C45" s="34">
        <f>C44*B6</f>
        <v/>
      </c>
      <c r="D45" s="34">
        <f>D44*B6</f>
        <v/>
      </c>
      <c r="E45" s="34">
        <f>E44*B6</f>
        <v/>
      </c>
    </row>
    <row r="46">
      <c r="A46" s="19" t="inlineStr">
        <is>
          <t>Layer 2 — share of firm-level operations</t>
        </is>
      </c>
      <c r="B46" s="34">
        <f>IFERROR(B23*B6/Total_HH,0)</f>
        <v/>
      </c>
      <c r="C46" s="34">
        <f>IFERROR(B23*B6/Total_HH,0)</f>
        <v/>
      </c>
      <c r="D46" s="34">
        <f>IFERROR(B23*B6/Total_HH,0)</f>
        <v/>
      </c>
      <c r="E46" s="34">
        <f>IFERROR(B23*B6/Total_HH,0)</f>
        <v/>
      </c>
    </row>
    <row r="47">
      <c r="A47" s="19" t="inlineStr">
        <is>
          <t>Layer 3 — advisor time</t>
        </is>
      </c>
      <c r="B47" s="34">
        <f>B43/60*B7</f>
        <v/>
      </c>
      <c r="C47" s="34">
        <f>C43/60*B7</f>
        <v/>
      </c>
      <c r="D47" s="34">
        <f>D43/60*B7</f>
        <v/>
      </c>
      <c r="E47" s="34">
        <f>E43/60*B7</f>
        <v/>
      </c>
    </row>
    <row r="48">
      <c r="A48" s="19" t="inlineStr">
        <is>
          <t>Layer 4 — non-payroll firm overhead</t>
        </is>
      </c>
      <c r="B48" s="34">
        <f>Firm_Overhead_PH</f>
        <v/>
      </c>
      <c r="C48" s="34">
        <f>Firm_Overhead_PH</f>
        <v/>
      </c>
      <c r="D48" s="34">
        <f>Firm_Overhead_PH</f>
        <v/>
      </c>
      <c r="E48" s="34">
        <f>Firm_Overhead_PH</f>
        <v/>
      </c>
    </row>
    <row r="49">
      <c r="A49" s="19" t="inlineStr">
        <is>
          <t>Fully loaded cost to serve</t>
        </is>
      </c>
      <c r="B49" s="34">
        <f>SUM(B45:B48)</f>
        <v/>
      </c>
      <c r="C49" s="34">
        <f>SUM(C45:C48)</f>
        <v/>
      </c>
      <c r="D49" s="34">
        <f>SUM(D45:D48)</f>
        <v/>
      </c>
      <c r="E49" s="34">
        <f>SUM(E45:E48)</f>
        <v/>
      </c>
    </row>
    <row r="50">
      <c r="A50" s="19" t="inlineStr">
        <is>
          <t>Revenue per household</t>
        </is>
      </c>
      <c r="B50" s="34">
        <f>Book!L2</f>
        <v/>
      </c>
      <c r="C50" s="34">
        <f>Book!L3</f>
        <v/>
      </c>
      <c r="D50" s="34">
        <f>Book!L4</f>
        <v/>
      </c>
      <c r="E50" s="34">
        <f>Book!L5</f>
        <v/>
      </c>
    </row>
    <row r="51">
      <c r="A51" s="19" t="inlineStr">
        <is>
          <t>Margin, fully loaded</t>
        </is>
      </c>
      <c r="B51" s="34">
        <f>B50-B49</f>
        <v/>
      </c>
      <c r="C51" s="34">
        <f>C50-C49</f>
        <v/>
      </c>
      <c r="D51" s="34">
        <f>D50-D49</f>
        <v/>
      </c>
      <c r="E51" s="34">
        <f>E50-E49</f>
        <v/>
      </c>
    </row>
    <row r="52">
      <c r="A52" s="19" t="inlineStr">
        <is>
          <t>Margin on direct operations cost alone</t>
        </is>
      </c>
      <c r="B52" s="34">
        <f>B50-B45</f>
        <v/>
      </c>
      <c r="C52" s="34">
        <f>C50-C45</f>
        <v/>
      </c>
      <c r="D52" s="34">
        <f>D50-D45</f>
        <v/>
      </c>
      <c r="E52" s="34">
        <f>E50-E45</f>
        <v/>
      </c>
    </row>
    <row r="53">
      <c r="A53" s="19" t="inlineStr">
        <is>
          <t>Onboarding cost per new household (one-off)</t>
        </is>
      </c>
      <c r="B53" s="34">
        <f>B42/60*(1+Switching_Uplift)*B6</f>
        <v/>
      </c>
      <c r="C53" s="34">
        <f>C42/60*(1+Switching_Uplift)*B6</f>
        <v/>
      </c>
      <c r="D53" s="34">
        <f>D42/60*(1+Switching_Uplift)*B6</f>
        <v/>
      </c>
      <c r="E53" s="34">
        <f>E42/60*(1+Switching_Uplift)*B6</f>
        <v/>
      </c>
    </row>
    <row r="55">
      <c r="A55" s="46" t="inlineStr">
        <is>
          <t>CAPACITY AT TODAY'S TIER MIX (the hand-checkable closed form)</t>
        </is>
      </c>
      <c r="B55" s="47" t="inlineStr"/>
      <c r="C55" s="47" t="inlineStr"/>
      <c r="D55" s="47" t="inlineStr"/>
      <c r="E55" s="47" t="inlineStr"/>
      <c r="F55" s="47" t="inlineStr"/>
    </row>
    <row r="56">
      <c r="A56" s="19" t="inlineStr">
        <is>
          <t>Fixed hours (firm-level only)</t>
        </is>
      </c>
      <c r="B56" s="36">
        <f>B23</f>
        <v/>
      </c>
    </row>
    <row r="57">
      <c r="A57" s="19" t="inlineStr">
        <is>
          <t>Marginal hours per additional household</t>
        </is>
      </c>
      <c r="B57" s="36">
        <f>(SUMPRODUCT(B40:E40,B41:E41)+Growth_Rate*(B42*Book!$F$2+C42*Book!$F$3+D42*Book!$F$4+E42*Book!$F$5))/60*(1+Switching_Uplift)</f>
        <v/>
      </c>
      <c r="F57" s="13" t="inlineStr">
        <is>
          <t>One more household at today's mix, including the onboarding work growth brings with it.</t>
        </is>
      </c>
    </row>
    <row r="58">
      <c r="A58" s="19" t="inlineStr">
        <is>
          <t>Households at which capacity breaks</t>
        </is>
      </c>
      <c r="B58" s="36">
        <f>IFERROR((B25-B56)/B57,"")</f>
        <v/>
      </c>
    </row>
    <row r="59">
      <c r="A59" s="19" t="inlineStr">
        <is>
          <t>Years to reach that count</t>
        </is>
      </c>
      <c r="B59" s="48">
        <f>IFERROR(IF(B58&lt;=Total_HH,0,LN(B58/Total_HH)/LN(1+Growth_Rate)),"")</f>
        <v/>
      </c>
    </row>
    <row r="60">
      <c r="A60" s="19" t="inlineStr">
        <is>
          <t>Which is around</t>
        </is>
      </c>
      <c r="B60" s="49">
        <f>IFERROR(As_Of+B59*365.25,"")</f>
        <v/>
      </c>
      <c r="F60" s="13" t="inlineStr">
        <is>
          <t>Holds today's tier mix. Case2 projects the mix forward as well, which lands slightly earlier.</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24"/>
  <sheetViews>
    <sheetView showGridLines="0" workbookViewId="0">
      <pane ySplit="3" topLeftCell="A4" activePane="bottomLeft" state="frozen"/>
      <selection pane="bottomLeft" activeCell="A1" sqref="A1"/>
    </sheetView>
  </sheetViews>
  <sheetFormatPr baseColWidth="8" defaultRowHeight="15"/>
  <cols>
    <col width="44" customWidth="1" min="1" max="1"/>
    <col width="16" customWidth="1" min="2" max="2"/>
    <col width="16" customWidth="1" min="3" max="3"/>
    <col width="16" customWidth="1" min="4" max="4"/>
    <col width="16" customWidth="1" min="5" max="5"/>
    <col width="60" customWidth="1" min="6" max="6"/>
  </cols>
  <sheetData>
    <row r="1">
      <c r="A1" s="1" t="inlineStr">
        <is>
          <t>CASE 1 — WHAT HAPPENS IN 100 DAYS</t>
        </is>
      </c>
    </row>
    <row r="2">
      <c r="A2" s="2" t="inlineStr">
        <is>
          <t>The consultant's departure. The most urgent of the four and the only one with a date already on it.</t>
        </is>
      </c>
    </row>
    <row r="4">
      <c r="A4" s="19" t="inlineStr">
        <is>
          <t>Days until she leaves</t>
        </is>
      </c>
      <c r="B4" s="30">
        <f>Departure_Days</f>
        <v/>
      </c>
    </row>
    <row r="5">
      <c r="A5" s="19" t="inlineStr">
        <is>
          <t>Which is</t>
        </is>
      </c>
      <c r="B5" s="50">
        <f>As_Of+Departure_Days</f>
        <v/>
      </c>
    </row>
    <row r="6">
      <c r="A6" s="19" t="inlineStr">
        <is>
          <t>Hours a year the catalogue has captured for her</t>
        </is>
      </c>
      <c r="B6" s="36">
        <f>Engine!B35</f>
        <v/>
      </c>
    </row>
    <row r="7">
      <c r="A7" s="19" t="inlineStr">
        <is>
          <t>Hours a year she is contracted for</t>
        </is>
      </c>
      <c r="B7" s="36">
        <f>Roster!C8*Productive_Hours</f>
        <v/>
      </c>
    </row>
    <row r="8">
      <c r="A8" s="19" t="inlineStr">
        <is>
          <t>Hours the catalogue has NOT captured</t>
        </is>
      </c>
      <c r="B8" s="51">
        <f>MAX(0,B7-B6)</f>
        <v/>
      </c>
      <c r="F8" s="13" t="inlineStr">
        <is>
          <t>Almost certainly real work not yet written down, not slack. Everything below understates the problem by this much.</t>
        </is>
      </c>
    </row>
    <row r="10">
      <c r="A10" s="3" t="inlineStr">
        <is>
          <t>BASE HOURS (read from the roster, independent of the scenario switch)</t>
        </is>
      </c>
    </row>
    <row r="11">
      <c r="A11" s="19" t="inlineStr">
        <is>
          <t>Operations hours available with her here</t>
        </is>
      </c>
      <c r="B11" s="36">
        <f>SUMPRODUCT(Roster!E2:E8,Roster!C2:C8,Roster!F2:F8)*Productive_Hours+Extra_Ops_Fte*Productive_Hours</f>
        <v/>
      </c>
    </row>
    <row r="12">
      <c r="A12" s="19" t="inlineStr">
        <is>
          <t xml:space="preserve">  of which hers</t>
        </is>
      </c>
      <c r="B12" s="36">
        <f>Roster!C8*Roster!F8*Productive_Hours</f>
        <v/>
      </c>
    </row>
    <row r="13">
      <c r="A13" s="19" t="inlineStr">
        <is>
          <t xml:space="preserve">  my operations hours today</t>
        </is>
      </c>
      <c r="B13" s="36">
        <f>Roster!C5*Roster!F5*Productive_Hours</f>
        <v/>
      </c>
    </row>
    <row r="14">
      <c r="A14" s="19" t="inlineStr">
        <is>
          <t xml:space="preserve">  my operations hours in the seat</t>
        </is>
      </c>
      <c r="B14" s="36">
        <f>Roster!C5*Seat_Ops_Alloc*Productive_Hours</f>
        <v/>
      </c>
    </row>
    <row r="15">
      <c r="A15" s="19" t="inlineStr">
        <is>
          <t>Operations hours required (unchanged by who does them)</t>
        </is>
      </c>
      <c r="B15" s="36">
        <f>Engine!B24</f>
        <v/>
      </c>
    </row>
    <row r="17">
      <c r="A17" s="3" t="inlineStr">
        <is>
          <t>THE THREE PLACES HER HOURS CAN GO</t>
        </is>
      </c>
    </row>
    <row r="18">
      <c r="A18" s="6" t="inlineStr">
        <is>
          <t>Response</t>
        </is>
      </c>
      <c r="B18" s="6" t="inlineStr">
        <is>
          <t>Annual cost</t>
        </is>
      </c>
      <c r="C18" s="6" t="inlineStr">
        <is>
          <t>Hours available after</t>
        </is>
      </c>
      <c r="D18" s="6" t="inlineStr">
        <is>
          <t>Utilisation after</t>
        </is>
      </c>
      <c r="E18" s="6" t="inlineStr">
        <is>
          <t>Hours left with no owner</t>
        </is>
      </c>
      <c r="F18" s="6" t="inlineStr">
        <is>
          <t>What it costs elsewhere</t>
        </is>
      </c>
    </row>
    <row r="19" ht="28" customHeight="1">
      <c r="A19" s="19" t="inlineStr">
        <is>
          <t>Absorb across the existing team</t>
        </is>
      </c>
      <c r="B19" s="34">
        <f>0</f>
        <v/>
      </c>
      <c r="C19" s="36">
        <f>B11-B12</f>
        <v/>
      </c>
      <c r="D19" s="33">
        <f>IFERROR(B15/C19,0)</f>
        <v/>
      </c>
      <c r="E19" s="36">
        <f>MAX(0,B15-C19)</f>
        <v/>
      </c>
      <c r="F19" s="13" t="inlineStr">
        <is>
          <t>No new spend. The hours land on the people already here.</t>
        </is>
      </c>
    </row>
    <row r="20" ht="28" customHeight="1">
      <c r="A20" s="19" t="inlineStr">
        <is>
          <t>Backfill with a like-for-like hire</t>
        </is>
      </c>
      <c r="B20" s="34">
        <f>Backfill_Cost</f>
        <v/>
      </c>
      <c r="C20" s="36">
        <f>B11-B12+Roster!C8*Productive_Hours</f>
        <v/>
      </c>
      <c r="D20" s="33">
        <f>IFERROR(B15/C20,0)</f>
        <v/>
      </c>
      <c r="E20" s="36">
        <f>MAX(0,B15-C20)</f>
        <v/>
      </c>
      <c r="F20" s="13" t="inlineStr">
        <is>
          <t>Replaces her hours at the same cost. Break-even is immediate by construction; the question is whether the hours come back.</t>
        </is>
      </c>
    </row>
    <row r="21" ht="28" customHeight="1">
      <c r="A21" s="19" t="inlineStr">
        <is>
          <t>I take it on</t>
        </is>
      </c>
      <c r="B21" s="34">
        <f>(Ops_Seat_Comp-Roster!G5)*(1+Benefits_Load)</f>
        <v/>
      </c>
      <c r="C21" s="36">
        <f>B11-B12+B14-B13</f>
        <v/>
      </c>
      <c r="D21" s="33">
        <f>IFERROR(B15/C21,0)</f>
        <v/>
      </c>
      <c r="E21" s="36">
        <f>MAX(0,B15-C21)</f>
        <v/>
      </c>
      <c r="F21" s="13" t="inlineStr">
        <is>
          <t>Compensation delta only, loaded. Displaces paraplanning work that has to go somewhere — see Case4.</t>
        </is>
      </c>
    </row>
    <row r="23">
      <c r="A23" s="3" t="inlineStr">
        <is>
          <t>THE SENTENCE THIS ENDS ON</t>
        </is>
      </c>
    </row>
    <row r="24" ht="30" customHeight="1">
      <c r="A24" s="52">
        <f>"When she leaves, "&amp;TEXT(B6,"#,##0")&amp;" catalogued hours a year need a home — and "&amp;TEXT(B8,"#,##0")&amp;" more that this model cannot see yet. Absorbing them puts operations at "&amp;TEXT(D19,"0.0%")&amp;" and leaves "&amp;TEXT(E19,"#,##0")&amp;" hours with nobody on them."</f>
        <v/>
      </c>
      <c r="B24" s="53" t="n"/>
      <c r="C24" s="53" t="n"/>
      <c r="D24" s="53" t="n"/>
      <c r="E24" s="53" t="n"/>
      <c r="F24" s="54" t="n"/>
    </row>
  </sheetData>
  <mergeCells count="1">
    <mergeCell ref="A24:F24"/>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M90"/>
  <sheetViews>
    <sheetView showGridLines="0" workbookViewId="0">
      <pane xSplit="2" ySplit="5" topLeftCell="C6" activePane="bottomRight" state="frozen"/>
      <selection pane="topRight"/>
      <selection pane="bottomLeft"/>
      <selection pane="bottomRight" activeCell="A1" sqref="A1"/>
    </sheetView>
  </sheetViews>
  <sheetFormatPr baseColWidth="8" defaultRowHeight="15"/>
  <cols>
    <col width="9" customWidth="1" min="1" max="1"/>
    <col width="13" customWidth="1" min="2" max="2"/>
    <col width="11" customWidth="1" min="3" max="3"/>
    <col width="11" customWidth="1" min="4" max="4"/>
    <col width="11" customWidth="1" min="5" max="5"/>
    <col width="11" customWidth="1" min="6" max="6"/>
    <col width="12" customWidth="1" min="7" max="7"/>
    <col width="12" customWidth="1" min="8" max="8"/>
    <col width="14" customWidth="1" min="9" max="9"/>
    <col width="14" customWidth="1" min="10" max="10"/>
    <col width="12" customWidth="1" min="11" max="11"/>
    <col width="8" customWidth="1" min="12" max="12"/>
    <col width="9" customWidth="1" min="13" max="13"/>
  </cols>
  <sheetData>
    <row r="1">
      <c r="A1" s="1" t="inlineStr">
        <is>
          <t>CASE 2 — WHERE CAPACITY BREAKS</t>
        </is>
      </c>
    </row>
    <row r="2">
      <c r="A2" s="2" t="inlineStr">
        <is>
          <t>Month by month. New households enter by the new-business mix, so the tier mix shifts as the book grows.</t>
        </is>
      </c>
    </row>
    <row r="3">
      <c r="A3" s="10" t="inlineStr">
        <is>
          <t>Monthly growth rate</t>
        </is>
      </c>
      <c r="B3" s="44">
        <f>(1+Growth_Rate)^(1/12)-1</f>
        <v/>
      </c>
    </row>
    <row r="5">
      <c r="A5" s="6" t="inlineStr">
        <is>
          <t>Month</t>
        </is>
      </c>
      <c r="B5" s="6" t="inlineStr">
        <is>
          <t>Date</t>
        </is>
      </c>
      <c r="C5" s="6" t="inlineStr">
        <is>
          <t>Households T1</t>
        </is>
      </c>
      <c r="D5" s="6" t="inlineStr">
        <is>
          <t>Households T2</t>
        </is>
      </c>
      <c r="E5" s="6" t="inlineStr">
        <is>
          <t>Households T3</t>
        </is>
      </c>
      <c r="F5" s="6" t="inlineStr">
        <is>
          <t>Households T4</t>
        </is>
      </c>
      <c r="G5" s="6" t="inlineStr">
        <is>
          <t>Total households</t>
        </is>
      </c>
      <c r="H5" s="6" t="inlineStr">
        <is>
          <t>New / yr</t>
        </is>
      </c>
      <c r="I5" s="6" t="inlineStr">
        <is>
          <t>Hours required</t>
        </is>
      </c>
      <c r="J5" s="6" t="inlineStr">
        <is>
          <t>Hours available</t>
        </is>
      </c>
      <c r="K5" s="6" t="inlineStr">
        <is>
          <t>Utilisation</t>
        </is>
      </c>
      <c r="L5" s="6" t="inlineStr">
        <is>
          <t>Over?</t>
        </is>
      </c>
      <c r="M5" s="6" t="inlineStr">
        <is>
          <t>Over with seat?</t>
        </is>
      </c>
    </row>
    <row r="6">
      <c r="A6" s="30" t="n">
        <v>0</v>
      </c>
      <c r="B6" s="55">
        <f>As_Of+ROUND(A6*30.4375,0)</f>
        <v/>
      </c>
      <c r="C6" s="36">
        <f>Book!C2</f>
        <v/>
      </c>
      <c r="D6" s="36">
        <f>Book!C3</f>
        <v/>
      </c>
      <c r="E6" s="36">
        <f>Book!C4</f>
        <v/>
      </c>
      <c r="F6" s="36">
        <f>Book!C5</f>
        <v/>
      </c>
      <c r="G6" s="36">
        <f>SUM(C6:F6)</f>
        <v/>
      </c>
      <c r="H6" s="36">
        <f>G6*Growth_Rate</f>
        <v/>
      </c>
      <c r="I6" s="36">
        <f>(SUMPRODUCT(C6:F6,Engine!$B$41:$E$41)+H6*(Engine!$B$42*Book!$F$2+Engine!$C$42*Book!$F$3+Engine!$D$42*Book!$F$4+Engine!$E$42*Book!$F$5))/60*(1+Switching_Uplift)+Engine!$B$23</f>
        <v/>
      </c>
      <c r="J6" s="36">
        <f>Engine!$B$25</f>
        <v/>
      </c>
      <c r="K6" s="33">
        <f>IFERROR(I6/J6,0)</f>
        <v/>
      </c>
      <c r="L6" s="30">
        <f>IF(I6&gt;=J6,1,0)</f>
        <v/>
      </c>
      <c r="M6" s="30">
        <f>IF(I6&gt;=C1_Internal_Avail,1,0)</f>
        <v/>
      </c>
    </row>
    <row r="7">
      <c r="A7" s="30" t="n">
        <v>1</v>
      </c>
      <c r="B7" s="55">
        <f>As_Of+ROUND(A7*30.4375,0)</f>
        <v/>
      </c>
      <c r="C7" s="36">
        <f>C6+G6*Monthly_Growth*Book!$F$2</f>
        <v/>
      </c>
      <c r="D7" s="36">
        <f>D6+G6*Monthly_Growth*Book!$F$3</f>
        <v/>
      </c>
      <c r="E7" s="36">
        <f>E6+G6*Monthly_Growth*Book!$F$4</f>
        <v/>
      </c>
      <c r="F7" s="36">
        <f>F6+G6*Monthly_Growth*Book!$F$5</f>
        <v/>
      </c>
      <c r="G7" s="36">
        <f>SUM(C7:F7)</f>
        <v/>
      </c>
      <c r="H7" s="36">
        <f>G7*Growth_Rate</f>
        <v/>
      </c>
      <c r="I7" s="36">
        <f>(SUMPRODUCT(C7:F7,Engine!$B$41:$E$41)+H7*(Engine!$B$42*Book!$F$2+Engine!$C$42*Book!$F$3+Engine!$D$42*Book!$F$4+Engine!$E$42*Book!$F$5))/60*(1+Switching_Uplift)+Engine!$B$23</f>
        <v/>
      </c>
      <c r="J7" s="36">
        <f>Engine!$B$25</f>
        <v/>
      </c>
      <c r="K7" s="33">
        <f>IFERROR(I7/J7,0)</f>
        <v/>
      </c>
      <c r="L7" s="30">
        <f>IF(I7&gt;=J7,1,0)</f>
        <v/>
      </c>
      <c r="M7" s="30">
        <f>IF(I7&gt;=C1_Internal_Avail,1,0)</f>
        <v/>
      </c>
    </row>
    <row r="8">
      <c r="A8" s="30" t="n">
        <v>2</v>
      </c>
      <c r="B8" s="55">
        <f>As_Of+ROUND(A8*30.4375,0)</f>
        <v/>
      </c>
      <c r="C8" s="36">
        <f>C7+G7*Monthly_Growth*Book!$F$2</f>
        <v/>
      </c>
      <c r="D8" s="36">
        <f>D7+G7*Monthly_Growth*Book!$F$3</f>
        <v/>
      </c>
      <c r="E8" s="36">
        <f>E7+G7*Monthly_Growth*Book!$F$4</f>
        <v/>
      </c>
      <c r="F8" s="36">
        <f>F7+G7*Monthly_Growth*Book!$F$5</f>
        <v/>
      </c>
      <c r="G8" s="36">
        <f>SUM(C8:F8)</f>
        <v/>
      </c>
      <c r="H8" s="36">
        <f>G8*Growth_Rate</f>
        <v/>
      </c>
      <c r="I8" s="36">
        <f>(SUMPRODUCT(C8:F8,Engine!$B$41:$E$41)+H8*(Engine!$B$42*Book!$F$2+Engine!$C$42*Book!$F$3+Engine!$D$42*Book!$F$4+Engine!$E$42*Book!$F$5))/60*(1+Switching_Uplift)+Engine!$B$23</f>
        <v/>
      </c>
      <c r="J8" s="36">
        <f>Engine!$B$25</f>
        <v/>
      </c>
      <c r="K8" s="33">
        <f>IFERROR(I8/J8,0)</f>
        <v/>
      </c>
      <c r="L8" s="30">
        <f>IF(I8&gt;=J8,1,0)</f>
        <v/>
      </c>
      <c r="M8" s="30">
        <f>IF(I8&gt;=C1_Internal_Avail,1,0)</f>
        <v/>
      </c>
    </row>
    <row r="9">
      <c r="A9" s="30" t="n">
        <v>3</v>
      </c>
      <c r="B9" s="55">
        <f>As_Of+ROUND(A9*30.4375,0)</f>
        <v/>
      </c>
      <c r="C9" s="36">
        <f>C8+G8*Monthly_Growth*Book!$F$2</f>
        <v/>
      </c>
      <c r="D9" s="36">
        <f>D8+G8*Monthly_Growth*Book!$F$3</f>
        <v/>
      </c>
      <c r="E9" s="36">
        <f>E8+G8*Monthly_Growth*Book!$F$4</f>
        <v/>
      </c>
      <c r="F9" s="36">
        <f>F8+G8*Monthly_Growth*Book!$F$5</f>
        <v/>
      </c>
      <c r="G9" s="36">
        <f>SUM(C9:F9)</f>
        <v/>
      </c>
      <c r="H9" s="36">
        <f>G9*Growth_Rate</f>
        <v/>
      </c>
      <c r="I9" s="36">
        <f>(SUMPRODUCT(C9:F9,Engine!$B$41:$E$41)+H9*(Engine!$B$42*Book!$F$2+Engine!$C$42*Book!$F$3+Engine!$D$42*Book!$F$4+Engine!$E$42*Book!$F$5))/60*(1+Switching_Uplift)+Engine!$B$23</f>
        <v/>
      </c>
      <c r="J9" s="36">
        <f>Engine!$B$25</f>
        <v/>
      </c>
      <c r="K9" s="33">
        <f>IFERROR(I9/J9,0)</f>
        <v/>
      </c>
      <c r="L9" s="30">
        <f>IF(I9&gt;=J9,1,0)</f>
        <v/>
      </c>
      <c r="M9" s="30">
        <f>IF(I9&gt;=C1_Internal_Avail,1,0)</f>
        <v/>
      </c>
    </row>
    <row r="10">
      <c r="A10" s="30" t="n">
        <v>4</v>
      </c>
      <c r="B10" s="55">
        <f>As_Of+ROUND(A10*30.4375,0)</f>
        <v/>
      </c>
      <c r="C10" s="36">
        <f>C9+G9*Monthly_Growth*Book!$F$2</f>
        <v/>
      </c>
      <c r="D10" s="36">
        <f>D9+G9*Monthly_Growth*Book!$F$3</f>
        <v/>
      </c>
      <c r="E10" s="36">
        <f>E9+G9*Monthly_Growth*Book!$F$4</f>
        <v/>
      </c>
      <c r="F10" s="36">
        <f>F9+G9*Monthly_Growth*Book!$F$5</f>
        <v/>
      </c>
      <c r="G10" s="36">
        <f>SUM(C10:F10)</f>
        <v/>
      </c>
      <c r="H10" s="36">
        <f>G10*Growth_Rate</f>
        <v/>
      </c>
      <c r="I10" s="36">
        <f>(SUMPRODUCT(C10:F10,Engine!$B$41:$E$41)+H10*(Engine!$B$42*Book!$F$2+Engine!$C$42*Book!$F$3+Engine!$D$42*Book!$F$4+Engine!$E$42*Book!$F$5))/60*(1+Switching_Uplift)+Engine!$B$23</f>
        <v/>
      </c>
      <c r="J10" s="36">
        <f>Engine!$B$25</f>
        <v/>
      </c>
      <c r="K10" s="33">
        <f>IFERROR(I10/J10,0)</f>
        <v/>
      </c>
      <c r="L10" s="30">
        <f>IF(I10&gt;=J10,1,0)</f>
        <v/>
      </c>
      <c r="M10" s="30">
        <f>IF(I10&gt;=C1_Internal_Avail,1,0)</f>
        <v/>
      </c>
    </row>
    <row r="11">
      <c r="A11" s="30" t="n">
        <v>5</v>
      </c>
      <c r="B11" s="55">
        <f>As_Of+ROUND(A11*30.4375,0)</f>
        <v/>
      </c>
      <c r="C11" s="36">
        <f>C10+G10*Monthly_Growth*Book!$F$2</f>
        <v/>
      </c>
      <c r="D11" s="36">
        <f>D10+G10*Monthly_Growth*Book!$F$3</f>
        <v/>
      </c>
      <c r="E11" s="36">
        <f>E10+G10*Monthly_Growth*Book!$F$4</f>
        <v/>
      </c>
      <c r="F11" s="36">
        <f>F10+G10*Monthly_Growth*Book!$F$5</f>
        <v/>
      </c>
      <c r="G11" s="36">
        <f>SUM(C11:F11)</f>
        <v/>
      </c>
      <c r="H11" s="36">
        <f>G11*Growth_Rate</f>
        <v/>
      </c>
      <c r="I11" s="36">
        <f>(SUMPRODUCT(C11:F11,Engine!$B$41:$E$41)+H11*(Engine!$B$42*Book!$F$2+Engine!$C$42*Book!$F$3+Engine!$D$42*Book!$F$4+Engine!$E$42*Book!$F$5))/60*(1+Switching_Uplift)+Engine!$B$23</f>
        <v/>
      </c>
      <c r="J11" s="36">
        <f>Engine!$B$25</f>
        <v/>
      </c>
      <c r="K11" s="33">
        <f>IFERROR(I11/J11,0)</f>
        <v/>
      </c>
      <c r="L11" s="30">
        <f>IF(I11&gt;=J11,1,0)</f>
        <v/>
      </c>
      <c r="M11" s="30">
        <f>IF(I11&gt;=C1_Internal_Avail,1,0)</f>
        <v/>
      </c>
    </row>
    <row r="12">
      <c r="A12" s="30" t="n">
        <v>6</v>
      </c>
      <c r="B12" s="55">
        <f>As_Of+ROUND(A12*30.4375,0)</f>
        <v/>
      </c>
      <c r="C12" s="36">
        <f>C11+G11*Monthly_Growth*Book!$F$2</f>
        <v/>
      </c>
      <c r="D12" s="36">
        <f>D11+G11*Monthly_Growth*Book!$F$3</f>
        <v/>
      </c>
      <c r="E12" s="36">
        <f>E11+G11*Monthly_Growth*Book!$F$4</f>
        <v/>
      </c>
      <c r="F12" s="36">
        <f>F11+G11*Monthly_Growth*Book!$F$5</f>
        <v/>
      </c>
      <c r="G12" s="36">
        <f>SUM(C12:F12)</f>
        <v/>
      </c>
      <c r="H12" s="36">
        <f>G12*Growth_Rate</f>
        <v/>
      </c>
      <c r="I12" s="36">
        <f>(SUMPRODUCT(C12:F12,Engine!$B$41:$E$41)+H12*(Engine!$B$42*Book!$F$2+Engine!$C$42*Book!$F$3+Engine!$D$42*Book!$F$4+Engine!$E$42*Book!$F$5))/60*(1+Switching_Uplift)+Engine!$B$23</f>
        <v/>
      </c>
      <c r="J12" s="36">
        <f>Engine!$B$25</f>
        <v/>
      </c>
      <c r="K12" s="33">
        <f>IFERROR(I12/J12,0)</f>
        <v/>
      </c>
      <c r="L12" s="30">
        <f>IF(I12&gt;=J12,1,0)</f>
        <v/>
      </c>
      <c r="M12" s="30">
        <f>IF(I12&gt;=C1_Internal_Avail,1,0)</f>
        <v/>
      </c>
    </row>
    <row r="13">
      <c r="A13" s="30" t="n">
        <v>7</v>
      </c>
      <c r="B13" s="55">
        <f>As_Of+ROUND(A13*30.4375,0)</f>
        <v/>
      </c>
      <c r="C13" s="36">
        <f>C12+G12*Monthly_Growth*Book!$F$2</f>
        <v/>
      </c>
      <c r="D13" s="36">
        <f>D12+G12*Monthly_Growth*Book!$F$3</f>
        <v/>
      </c>
      <c r="E13" s="36">
        <f>E12+G12*Monthly_Growth*Book!$F$4</f>
        <v/>
      </c>
      <c r="F13" s="36">
        <f>F12+G12*Monthly_Growth*Book!$F$5</f>
        <v/>
      </c>
      <c r="G13" s="36">
        <f>SUM(C13:F13)</f>
        <v/>
      </c>
      <c r="H13" s="36">
        <f>G13*Growth_Rate</f>
        <v/>
      </c>
      <c r="I13" s="36">
        <f>(SUMPRODUCT(C13:F13,Engine!$B$41:$E$41)+H13*(Engine!$B$42*Book!$F$2+Engine!$C$42*Book!$F$3+Engine!$D$42*Book!$F$4+Engine!$E$42*Book!$F$5))/60*(1+Switching_Uplift)+Engine!$B$23</f>
        <v/>
      </c>
      <c r="J13" s="36">
        <f>Engine!$B$25</f>
        <v/>
      </c>
      <c r="K13" s="33">
        <f>IFERROR(I13/J13,0)</f>
        <v/>
      </c>
      <c r="L13" s="30">
        <f>IF(I13&gt;=J13,1,0)</f>
        <v/>
      </c>
      <c r="M13" s="30">
        <f>IF(I13&gt;=C1_Internal_Avail,1,0)</f>
        <v/>
      </c>
    </row>
    <row r="14">
      <c r="A14" s="30" t="n">
        <v>8</v>
      </c>
      <c r="B14" s="55">
        <f>As_Of+ROUND(A14*30.4375,0)</f>
        <v/>
      </c>
      <c r="C14" s="36">
        <f>C13+G13*Monthly_Growth*Book!$F$2</f>
        <v/>
      </c>
      <c r="D14" s="36">
        <f>D13+G13*Monthly_Growth*Book!$F$3</f>
        <v/>
      </c>
      <c r="E14" s="36">
        <f>E13+G13*Monthly_Growth*Book!$F$4</f>
        <v/>
      </c>
      <c r="F14" s="36">
        <f>F13+G13*Monthly_Growth*Book!$F$5</f>
        <v/>
      </c>
      <c r="G14" s="36">
        <f>SUM(C14:F14)</f>
        <v/>
      </c>
      <c r="H14" s="36">
        <f>G14*Growth_Rate</f>
        <v/>
      </c>
      <c r="I14" s="36">
        <f>(SUMPRODUCT(C14:F14,Engine!$B$41:$E$41)+H14*(Engine!$B$42*Book!$F$2+Engine!$C$42*Book!$F$3+Engine!$D$42*Book!$F$4+Engine!$E$42*Book!$F$5))/60*(1+Switching_Uplift)+Engine!$B$23</f>
        <v/>
      </c>
      <c r="J14" s="36">
        <f>Engine!$B$25</f>
        <v/>
      </c>
      <c r="K14" s="33">
        <f>IFERROR(I14/J14,0)</f>
        <v/>
      </c>
      <c r="L14" s="30">
        <f>IF(I14&gt;=J14,1,0)</f>
        <v/>
      </c>
      <c r="M14" s="30">
        <f>IF(I14&gt;=C1_Internal_Avail,1,0)</f>
        <v/>
      </c>
    </row>
    <row r="15">
      <c r="A15" s="30" t="n">
        <v>9</v>
      </c>
      <c r="B15" s="55">
        <f>As_Of+ROUND(A15*30.4375,0)</f>
        <v/>
      </c>
      <c r="C15" s="36">
        <f>C14+G14*Monthly_Growth*Book!$F$2</f>
        <v/>
      </c>
      <c r="D15" s="36">
        <f>D14+G14*Monthly_Growth*Book!$F$3</f>
        <v/>
      </c>
      <c r="E15" s="36">
        <f>E14+G14*Monthly_Growth*Book!$F$4</f>
        <v/>
      </c>
      <c r="F15" s="36">
        <f>F14+G14*Monthly_Growth*Book!$F$5</f>
        <v/>
      </c>
      <c r="G15" s="36">
        <f>SUM(C15:F15)</f>
        <v/>
      </c>
      <c r="H15" s="36">
        <f>G15*Growth_Rate</f>
        <v/>
      </c>
      <c r="I15" s="36">
        <f>(SUMPRODUCT(C15:F15,Engine!$B$41:$E$41)+H15*(Engine!$B$42*Book!$F$2+Engine!$C$42*Book!$F$3+Engine!$D$42*Book!$F$4+Engine!$E$42*Book!$F$5))/60*(1+Switching_Uplift)+Engine!$B$23</f>
        <v/>
      </c>
      <c r="J15" s="36">
        <f>Engine!$B$25</f>
        <v/>
      </c>
      <c r="K15" s="33">
        <f>IFERROR(I15/J15,0)</f>
        <v/>
      </c>
      <c r="L15" s="30">
        <f>IF(I15&gt;=J15,1,0)</f>
        <v/>
      </c>
      <c r="M15" s="30">
        <f>IF(I15&gt;=C1_Internal_Avail,1,0)</f>
        <v/>
      </c>
    </row>
    <row r="16">
      <c r="A16" s="30" t="n">
        <v>10</v>
      </c>
      <c r="B16" s="55">
        <f>As_Of+ROUND(A16*30.4375,0)</f>
        <v/>
      </c>
      <c r="C16" s="36">
        <f>C15+G15*Monthly_Growth*Book!$F$2</f>
        <v/>
      </c>
      <c r="D16" s="36">
        <f>D15+G15*Monthly_Growth*Book!$F$3</f>
        <v/>
      </c>
      <c r="E16" s="36">
        <f>E15+G15*Monthly_Growth*Book!$F$4</f>
        <v/>
      </c>
      <c r="F16" s="36">
        <f>F15+G15*Monthly_Growth*Book!$F$5</f>
        <v/>
      </c>
      <c r="G16" s="36">
        <f>SUM(C16:F16)</f>
        <v/>
      </c>
      <c r="H16" s="36">
        <f>G16*Growth_Rate</f>
        <v/>
      </c>
      <c r="I16" s="36">
        <f>(SUMPRODUCT(C16:F16,Engine!$B$41:$E$41)+H16*(Engine!$B$42*Book!$F$2+Engine!$C$42*Book!$F$3+Engine!$D$42*Book!$F$4+Engine!$E$42*Book!$F$5))/60*(1+Switching_Uplift)+Engine!$B$23</f>
        <v/>
      </c>
      <c r="J16" s="36">
        <f>Engine!$B$25</f>
        <v/>
      </c>
      <c r="K16" s="33">
        <f>IFERROR(I16/J16,0)</f>
        <v/>
      </c>
      <c r="L16" s="30">
        <f>IF(I16&gt;=J16,1,0)</f>
        <v/>
      </c>
      <c r="M16" s="30">
        <f>IF(I16&gt;=C1_Internal_Avail,1,0)</f>
        <v/>
      </c>
    </row>
    <row r="17">
      <c r="A17" s="30" t="n">
        <v>11</v>
      </c>
      <c r="B17" s="55">
        <f>As_Of+ROUND(A17*30.4375,0)</f>
        <v/>
      </c>
      <c r="C17" s="36">
        <f>C16+G16*Monthly_Growth*Book!$F$2</f>
        <v/>
      </c>
      <c r="D17" s="36">
        <f>D16+G16*Monthly_Growth*Book!$F$3</f>
        <v/>
      </c>
      <c r="E17" s="36">
        <f>E16+G16*Monthly_Growth*Book!$F$4</f>
        <v/>
      </c>
      <c r="F17" s="36">
        <f>F16+G16*Monthly_Growth*Book!$F$5</f>
        <v/>
      </c>
      <c r="G17" s="36">
        <f>SUM(C17:F17)</f>
        <v/>
      </c>
      <c r="H17" s="36">
        <f>G17*Growth_Rate</f>
        <v/>
      </c>
      <c r="I17" s="36">
        <f>(SUMPRODUCT(C17:F17,Engine!$B$41:$E$41)+H17*(Engine!$B$42*Book!$F$2+Engine!$C$42*Book!$F$3+Engine!$D$42*Book!$F$4+Engine!$E$42*Book!$F$5))/60*(1+Switching_Uplift)+Engine!$B$23</f>
        <v/>
      </c>
      <c r="J17" s="36">
        <f>Engine!$B$25</f>
        <v/>
      </c>
      <c r="K17" s="33">
        <f>IFERROR(I17/J17,0)</f>
        <v/>
      </c>
      <c r="L17" s="30">
        <f>IF(I17&gt;=J17,1,0)</f>
        <v/>
      </c>
      <c r="M17" s="30">
        <f>IF(I17&gt;=C1_Internal_Avail,1,0)</f>
        <v/>
      </c>
    </row>
    <row r="18">
      <c r="A18" s="30" t="n">
        <v>12</v>
      </c>
      <c r="B18" s="55">
        <f>As_Of+ROUND(A18*30.4375,0)</f>
        <v/>
      </c>
      <c r="C18" s="36">
        <f>C17+G17*Monthly_Growth*Book!$F$2</f>
        <v/>
      </c>
      <c r="D18" s="36">
        <f>D17+G17*Monthly_Growth*Book!$F$3</f>
        <v/>
      </c>
      <c r="E18" s="36">
        <f>E17+G17*Monthly_Growth*Book!$F$4</f>
        <v/>
      </c>
      <c r="F18" s="36">
        <f>F17+G17*Monthly_Growth*Book!$F$5</f>
        <v/>
      </c>
      <c r="G18" s="36">
        <f>SUM(C18:F18)</f>
        <v/>
      </c>
      <c r="H18" s="36">
        <f>G18*Growth_Rate</f>
        <v/>
      </c>
      <c r="I18" s="36">
        <f>(SUMPRODUCT(C18:F18,Engine!$B$41:$E$41)+H18*(Engine!$B$42*Book!$F$2+Engine!$C$42*Book!$F$3+Engine!$D$42*Book!$F$4+Engine!$E$42*Book!$F$5))/60*(1+Switching_Uplift)+Engine!$B$23</f>
        <v/>
      </c>
      <c r="J18" s="36">
        <f>Engine!$B$25</f>
        <v/>
      </c>
      <c r="K18" s="33">
        <f>IFERROR(I18/J18,0)</f>
        <v/>
      </c>
      <c r="L18" s="30">
        <f>IF(I18&gt;=J18,1,0)</f>
        <v/>
      </c>
      <c r="M18" s="30">
        <f>IF(I18&gt;=C1_Internal_Avail,1,0)</f>
        <v/>
      </c>
    </row>
    <row r="19">
      <c r="A19" s="30" t="n">
        <v>13</v>
      </c>
      <c r="B19" s="55">
        <f>As_Of+ROUND(A19*30.4375,0)</f>
        <v/>
      </c>
      <c r="C19" s="36">
        <f>C18+G18*Monthly_Growth*Book!$F$2</f>
        <v/>
      </c>
      <c r="D19" s="36">
        <f>D18+G18*Monthly_Growth*Book!$F$3</f>
        <v/>
      </c>
      <c r="E19" s="36">
        <f>E18+G18*Monthly_Growth*Book!$F$4</f>
        <v/>
      </c>
      <c r="F19" s="36">
        <f>F18+G18*Monthly_Growth*Book!$F$5</f>
        <v/>
      </c>
      <c r="G19" s="36">
        <f>SUM(C19:F19)</f>
        <v/>
      </c>
      <c r="H19" s="36">
        <f>G19*Growth_Rate</f>
        <v/>
      </c>
      <c r="I19" s="36">
        <f>(SUMPRODUCT(C19:F19,Engine!$B$41:$E$41)+H19*(Engine!$B$42*Book!$F$2+Engine!$C$42*Book!$F$3+Engine!$D$42*Book!$F$4+Engine!$E$42*Book!$F$5))/60*(1+Switching_Uplift)+Engine!$B$23</f>
        <v/>
      </c>
      <c r="J19" s="36">
        <f>Engine!$B$25</f>
        <v/>
      </c>
      <c r="K19" s="33">
        <f>IFERROR(I19/J19,0)</f>
        <v/>
      </c>
      <c r="L19" s="30">
        <f>IF(I19&gt;=J19,1,0)</f>
        <v/>
      </c>
      <c r="M19" s="30">
        <f>IF(I19&gt;=C1_Internal_Avail,1,0)</f>
        <v/>
      </c>
    </row>
    <row r="20">
      <c r="A20" s="30" t="n">
        <v>14</v>
      </c>
      <c r="B20" s="55">
        <f>As_Of+ROUND(A20*30.4375,0)</f>
        <v/>
      </c>
      <c r="C20" s="36">
        <f>C19+G19*Monthly_Growth*Book!$F$2</f>
        <v/>
      </c>
      <c r="D20" s="36">
        <f>D19+G19*Monthly_Growth*Book!$F$3</f>
        <v/>
      </c>
      <c r="E20" s="36">
        <f>E19+G19*Monthly_Growth*Book!$F$4</f>
        <v/>
      </c>
      <c r="F20" s="36">
        <f>F19+G19*Monthly_Growth*Book!$F$5</f>
        <v/>
      </c>
      <c r="G20" s="36">
        <f>SUM(C20:F20)</f>
        <v/>
      </c>
      <c r="H20" s="36">
        <f>G20*Growth_Rate</f>
        <v/>
      </c>
      <c r="I20" s="36">
        <f>(SUMPRODUCT(C20:F20,Engine!$B$41:$E$41)+H20*(Engine!$B$42*Book!$F$2+Engine!$C$42*Book!$F$3+Engine!$D$42*Book!$F$4+Engine!$E$42*Book!$F$5))/60*(1+Switching_Uplift)+Engine!$B$23</f>
        <v/>
      </c>
      <c r="J20" s="36">
        <f>Engine!$B$25</f>
        <v/>
      </c>
      <c r="K20" s="33">
        <f>IFERROR(I20/J20,0)</f>
        <v/>
      </c>
      <c r="L20" s="30">
        <f>IF(I20&gt;=J20,1,0)</f>
        <v/>
      </c>
      <c r="M20" s="30">
        <f>IF(I20&gt;=C1_Internal_Avail,1,0)</f>
        <v/>
      </c>
    </row>
    <row r="21">
      <c r="A21" s="30" t="n">
        <v>15</v>
      </c>
      <c r="B21" s="55">
        <f>As_Of+ROUND(A21*30.4375,0)</f>
        <v/>
      </c>
      <c r="C21" s="36">
        <f>C20+G20*Monthly_Growth*Book!$F$2</f>
        <v/>
      </c>
      <c r="D21" s="36">
        <f>D20+G20*Monthly_Growth*Book!$F$3</f>
        <v/>
      </c>
      <c r="E21" s="36">
        <f>E20+G20*Monthly_Growth*Book!$F$4</f>
        <v/>
      </c>
      <c r="F21" s="36">
        <f>F20+G20*Monthly_Growth*Book!$F$5</f>
        <v/>
      </c>
      <c r="G21" s="36">
        <f>SUM(C21:F21)</f>
        <v/>
      </c>
      <c r="H21" s="36">
        <f>G21*Growth_Rate</f>
        <v/>
      </c>
      <c r="I21" s="36">
        <f>(SUMPRODUCT(C21:F21,Engine!$B$41:$E$41)+H21*(Engine!$B$42*Book!$F$2+Engine!$C$42*Book!$F$3+Engine!$D$42*Book!$F$4+Engine!$E$42*Book!$F$5))/60*(1+Switching_Uplift)+Engine!$B$23</f>
        <v/>
      </c>
      <c r="J21" s="36">
        <f>Engine!$B$25</f>
        <v/>
      </c>
      <c r="K21" s="33">
        <f>IFERROR(I21/J21,0)</f>
        <v/>
      </c>
      <c r="L21" s="30">
        <f>IF(I21&gt;=J21,1,0)</f>
        <v/>
      </c>
      <c r="M21" s="30">
        <f>IF(I21&gt;=C1_Internal_Avail,1,0)</f>
        <v/>
      </c>
    </row>
    <row r="22">
      <c r="A22" s="30" t="n">
        <v>16</v>
      </c>
      <c r="B22" s="55">
        <f>As_Of+ROUND(A22*30.4375,0)</f>
        <v/>
      </c>
      <c r="C22" s="36">
        <f>C21+G21*Monthly_Growth*Book!$F$2</f>
        <v/>
      </c>
      <c r="D22" s="36">
        <f>D21+G21*Monthly_Growth*Book!$F$3</f>
        <v/>
      </c>
      <c r="E22" s="36">
        <f>E21+G21*Monthly_Growth*Book!$F$4</f>
        <v/>
      </c>
      <c r="F22" s="36">
        <f>F21+G21*Monthly_Growth*Book!$F$5</f>
        <v/>
      </c>
      <c r="G22" s="36">
        <f>SUM(C22:F22)</f>
        <v/>
      </c>
      <c r="H22" s="36">
        <f>G22*Growth_Rate</f>
        <v/>
      </c>
      <c r="I22" s="36">
        <f>(SUMPRODUCT(C22:F22,Engine!$B$41:$E$41)+H22*(Engine!$B$42*Book!$F$2+Engine!$C$42*Book!$F$3+Engine!$D$42*Book!$F$4+Engine!$E$42*Book!$F$5))/60*(1+Switching_Uplift)+Engine!$B$23</f>
        <v/>
      </c>
      <c r="J22" s="36">
        <f>Engine!$B$25</f>
        <v/>
      </c>
      <c r="K22" s="33">
        <f>IFERROR(I22/J22,0)</f>
        <v/>
      </c>
      <c r="L22" s="30">
        <f>IF(I22&gt;=J22,1,0)</f>
        <v/>
      </c>
      <c r="M22" s="30">
        <f>IF(I22&gt;=C1_Internal_Avail,1,0)</f>
        <v/>
      </c>
    </row>
    <row r="23">
      <c r="A23" s="30" t="n">
        <v>17</v>
      </c>
      <c r="B23" s="55">
        <f>As_Of+ROUND(A23*30.4375,0)</f>
        <v/>
      </c>
      <c r="C23" s="36">
        <f>C22+G22*Monthly_Growth*Book!$F$2</f>
        <v/>
      </c>
      <c r="D23" s="36">
        <f>D22+G22*Monthly_Growth*Book!$F$3</f>
        <v/>
      </c>
      <c r="E23" s="36">
        <f>E22+G22*Monthly_Growth*Book!$F$4</f>
        <v/>
      </c>
      <c r="F23" s="36">
        <f>F22+G22*Monthly_Growth*Book!$F$5</f>
        <v/>
      </c>
      <c r="G23" s="36">
        <f>SUM(C23:F23)</f>
        <v/>
      </c>
      <c r="H23" s="36">
        <f>G23*Growth_Rate</f>
        <v/>
      </c>
      <c r="I23" s="36">
        <f>(SUMPRODUCT(C23:F23,Engine!$B$41:$E$41)+H23*(Engine!$B$42*Book!$F$2+Engine!$C$42*Book!$F$3+Engine!$D$42*Book!$F$4+Engine!$E$42*Book!$F$5))/60*(1+Switching_Uplift)+Engine!$B$23</f>
        <v/>
      </c>
      <c r="J23" s="36">
        <f>Engine!$B$25</f>
        <v/>
      </c>
      <c r="K23" s="33">
        <f>IFERROR(I23/J23,0)</f>
        <v/>
      </c>
      <c r="L23" s="30">
        <f>IF(I23&gt;=J23,1,0)</f>
        <v/>
      </c>
      <c r="M23" s="30">
        <f>IF(I23&gt;=C1_Internal_Avail,1,0)</f>
        <v/>
      </c>
    </row>
    <row r="24">
      <c r="A24" s="30" t="n">
        <v>18</v>
      </c>
      <c r="B24" s="55">
        <f>As_Of+ROUND(A24*30.4375,0)</f>
        <v/>
      </c>
      <c r="C24" s="36">
        <f>C23+G23*Monthly_Growth*Book!$F$2</f>
        <v/>
      </c>
      <c r="D24" s="36">
        <f>D23+G23*Monthly_Growth*Book!$F$3</f>
        <v/>
      </c>
      <c r="E24" s="36">
        <f>E23+G23*Monthly_Growth*Book!$F$4</f>
        <v/>
      </c>
      <c r="F24" s="36">
        <f>F23+G23*Monthly_Growth*Book!$F$5</f>
        <v/>
      </c>
      <c r="G24" s="36">
        <f>SUM(C24:F24)</f>
        <v/>
      </c>
      <c r="H24" s="36">
        <f>G24*Growth_Rate</f>
        <v/>
      </c>
      <c r="I24" s="36">
        <f>(SUMPRODUCT(C24:F24,Engine!$B$41:$E$41)+H24*(Engine!$B$42*Book!$F$2+Engine!$C$42*Book!$F$3+Engine!$D$42*Book!$F$4+Engine!$E$42*Book!$F$5))/60*(1+Switching_Uplift)+Engine!$B$23</f>
        <v/>
      </c>
      <c r="J24" s="36">
        <f>Engine!$B$25</f>
        <v/>
      </c>
      <c r="K24" s="33">
        <f>IFERROR(I24/J24,0)</f>
        <v/>
      </c>
      <c r="L24" s="30">
        <f>IF(I24&gt;=J24,1,0)</f>
        <v/>
      </c>
      <c r="M24" s="30">
        <f>IF(I24&gt;=C1_Internal_Avail,1,0)</f>
        <v/>
      </c>
    </row>
    <row r="25">
      <c r="A25" s="30" t="n">
        <v>19</v>
      </c>
      <c r="B25" s="55">
        <f>As_Of+ROUND(A25*30.4375,0)</f>
        <v/>
      </c>
      <c r="C25" s="36">
        <f>C24+G24*Monthly_Growth*Book!$F$2</f>
        <v/>
      </c>
      <c r="D25" s="36">
        <f>D24+G24*Monthly_Growth*Book!$F$3</f>
        <v/>
      </c>
      <c r="E25" s="36">
        <f>E24+G24*Monthly_Growth*Book!$F$4</f>
        <v/>
      </c>
      <c r="F25" s="36">
        <f>F24+G24*Monthly_Growth*Book!$F$5</f>
        <v/>
      </c>
      <c r="G25" s="36">
        <f>SUM(C25:F25)</f>
        <v/>
      </c>
      <c r="H25" s="36">
        <f>G25*Growth_Rate</f>
        <v/>
      </c>
      <c r="I25" s="36">
        <f>(SUMPRODUCT(C25:F25,Engine!$B$41:$E$41)+H25*(Engine!$B$42*Book!$F$2+Engine!$C$42*Book!$F$3+Engine!$D$42*Book!$F$4+Engine!$E$42*Book!$F$5))/60*(1+Switching_Uplift)+Engine!$B$23</f>
        <v/>
      </c>
      <c r="J25" s="36">
        <f>Engine!$B$25</f>
        <v/>
      </c>
      <c r="K25" s="33">
        <f>IFERROR(I25/J25,0)</f>
        <v/>
      </c>
      <c r="L25" s="30">
        <f>IF(I25&gt;=J25,1,0)</f>
        <v/>
      </c>
      <c r="M25" s="30">
        <f>IF(I25&gt;=C1_Internal_Avail,1,0)</f>
        <v/>
      </c>
    </row>
    <row r="26">
      <c r="A26" s="30" t="n">
        <v>20</v>
      </c>
      <c r="B26" s="55">
        <f>As_Of+ROUND(A26*30.4375,0)</f>
        <v/>
      </c>
      <c r="C26" s="36">
        <f>C25+G25*Monthly_Growth*Book!$F$2</f>
        <v/>
      </c>
      <c r="D26" s="36">
        <f>D25+G25*Monthly_Growth*Book!$F$3</f>
        <v/>
      </c>
      <c r="E26" s="36">
        <f>E25+G25*Monthly_Growth*Book!$F$4</f>
        <v/>
      </c>
      <c r="F26" s="36">
        <f>F25+G25*Monthly_Growth*Book!$F$5</f>
        <v/>
      </c>
      <c r="G26" s="36">
        <f>SUM(C26:F26)</f>
        <v/>
      </c>
      <c r="H26" s="36">
        <f>G26*Growth_Rate</f>
        <v/>
      </c>
      <c r="I26" s="36">
        <f>(SUMPRODUCT(C26:F26,Engine!$B$41:$E$41)+H26*(Engine!$B$42*Book!$F$2+Engine!$C$42*Book!$F$3+Engine!$D$42*Book!$F$4+Engine!$E$42*Book!$F$5))/60*(1+Switching_Uplift)+Engine!$B$23</f>
        <v/>
      </c>
      <c r="J26" s="36">
        <f>Engine!$B$25</f>
        <v/>
      </c>
      <c r="K26" s="33">
        <f>IFERROR(I26/J26,0)</f>
        <v/>
      </c>
      <c r="L26" s="30">
        <f>IF(I26&gt;=J26,1,0)</f>
        <v/>
      </c>
      <c r="M26" s="30">
        <f>IF(I26&gt;=C1_Internal_Avail,1,0)</f>
        <v/>
      </c>
    </row>
    <row r="27">
      <c r="A27" s="30" t="n">
        <v>21</v>
      </c>
      <c r="B27" s="55">
        <f>As_Of+ROUND(A27*30.4375,0)</f>
        <v/>
      </c>
      <c r="C27" s="36">
        <f>C26+G26*Monthly_Growth*Book!$F$2</f>
        <v/>
      </c>
      <c r="D27" s="36">
        <f>D26+G26*Monthly_Growth*Book!$F$3</f>
        <v/>
      </c>
      <c r="E27" s="36">
        <f>E26+G26*Monthly_Growth*Book!$F$4</f>
        <v/>
      </c>
      <c r="F27" s="36">
        <f>F26+G26*Monthly_Growth*Book!$F$5</f>
        <v/>
      </c>
      <c r="G27" s="36">
        <f>SUM(C27:F27)</f>
        <v/>
      </c>
      <c r="H27" s="36">
        <f>G27*Growth_Rate</f>
        <v/>
      </c>
      <c r="I27" s="36">
        <f>(SUMPRODUCT(C27:F27,Engine!$B$41:$E$41)+H27*(Engine!$B$42*Book!$F$2+Engine!$C$42*Book!$F$3+Engine!$D$42*Book!$F$4+Engine!$E$42*Book!$F$5))/60*(1+Switching_Uplift)+Engine!$B$23</f>
        <v/>
      </c>
      <c r="J27" s="36">
        <f>Engine!$B$25</f>
        <v/>
      </c>
      <c r="K27" s="33">
        <f>IFERROR(I27/J27,0)</f>
        <v/>
      </c>
      <c r="L27" s="30">
        <f>IF(I27&gt;=J27,1,0)</f>
        <v/>
      </c>
      <c r="M27" s="30">
        <f>IF(I27&gt;=C1_Internal_Avail,1,0)</f>
        <v/>
      </c>
    </row>
    <row r="28">
      <c r="A28" s="30" t="n">
        <v>22</v>
      </c>
      <c r="B28" s="55">
        <f>As_Of+ROUND(A28*30.4375,0)</f>
        <v/>
      </c>
      <c r="C28" s="36">
        <f>C27+G27*Monthly_Growth*Book!$F$2</f>
        <v/>
      </c>
      <c r="D28" s="36">
        <f>D27+G27*Monthly_Growth*Book!$F$3</f>
        <v/>
      </c>
      <c r="E28" s="36">
        <f>E27+G27*Monthly_Growth*Book!$F$4</f>
        <v/>
      </c>
      <c r="F28" s="36">
        <f>F27+G27*Monthly_Growth*Book!$F$5</f>
        <v/>
      </c>
      <c r="G28" s="36">
        <f>SUM(C28:F28)</f>
        <v/>
      </c>
      <c r="H28" s="36">
        <f>G28*Growth_Rate</f>
        <v/>
      </c>
      <c r="I28" s="36">
        <f>(SUMPRODUCT(C28:F28,Engine!$B$41:$E$41)+H28*(Engine!$B$42*Book!$F$2+Engine!$C$42*Book!$F$3+Engine!$D$42*Book!$F$4+Engine!$E$42*Book!$F$5))/60*(1+Switching_Uplift)+Engine!$B$23</f>
        <v/>
      </c>
      <c r="J28" s="36">
        <f>Engine!$B$25</f>
        <v/>
      </c>
      <c r="K28" s="33">
        <f>IFERROR(I28/J28,0)</f>
        <v/>
      </c>
      <c r="L28" s="30">
        <f>IF(I28&gt;=J28,1,0)</f>
        <v/>
      </c>
      <c r="M28" s="30">
        <f>IF(I28&gt;=C1_Internal_Avail,1,0)</f>
        <v/>
      </c>
    </row>
    <row r="29">
      <c r="A29" s="30" t="n">
        <v>23</v>
      </c>
      <c r="B29" s="55">
        <f>As_Of+ROUND(A29*30.4375,0)</f>
        <v/>
      </c>
      <c r="C29" s="36">
        <f>C28+G28*Monthly_Growth*Book!$F$2</f>
        <v/>
      </c>
      <c r="D29" s="36">
        <f>D28+G28*Monthly_Growth*Book!$F$3</f>
        <v/>
      </c>
      <c r="E29" s="36">
        <f>E28+G28*Monthly_Growth*Book!$F$4</f>
        <v/>
      </c>
      <c r="F29" s="36">
        <f>F28+G28*Monthly_Growth*Book!$F$5</f>
        <v/>
      </c>
      <c r="G29" s="36">
        <f>SUM(C29:F29)</f>
        <v/>
      </c>
      <c r="H29" s="36">
        <f>G29*Growth_Rate</f>
        <v/>
      </c>
      <c r="I29" s="36">
        <f>(SUMPRODUCT(C29:F29,Engine!$B$41:$E$41)+H29*(Engine!$B$42*Book!$F$2+Engine!$C$42*Book!$F$3+Engine!$D$42*Book!$F$4+Engine!$E$42*Book!$F$5))/60*(1+Switching_Uplift)+Engine!$B$23</f>
        <v/>
      </c>
      <c r="J29" s="36">
        <f>Engine!$B$25</f>
        <v/>
      </c>
      <c r="K29" s="33">
        <f>IFERROR(I29/J29,0)</f>
        <v/>
      </c>
      <c r="L29" s="30">
        <f>IF(I29&gt;=J29,1,0)</f>
        <v/>
      </c>
      <c r="M29" s="30">
        <f>IF(I29&gt;=C1_Internal_Avail,1,0)</f>
        <v/>
      </c>
    </row>
    <row r="30">
      <c r="A30" s="30" t="n">
        <v>24</v>
      </c>
      <c r="B30" s="55">
        <f>As_Of+ROUND(A30*30.4375,0)</f>
        <v/>
      </c>
      <c r="C30" s="36">
        <f>C29+G29*Monthly_Growth*Book!$F$2</f>
        <v/>
      </c>
      <c r="D30" s="36">
        <f>D29+G29*Monthly_Growth*Book!$F$3</f>
        <v/>
      </c>
      <c r="E30" s="36">
        <f>E29+G29*Monthly_Growth*Book!$F$4</f>
        <v/>
      </c>
      <c r="F30" s="36">
        <f>F29+G29*Monthly_Growth*Book!$F$5</f>
        <v/>
      </c>
      <c r="G30" s="36">
        <f>SUM(C30:F30)</f>
        <v/>
      </c>
      <c r="H30" s="36">
        <f>G30*Growth_Rate</f>
        <v/>
      </c>
      <c r="I30" s="36">
        <f>(SUMPRODUCT(C30:F30,Engine!$B$41:$E$41)+H30*(Engine!$B$42*Book!$F$2+Engine!$C$42*Book!$F$3+Engine!$D$42*Book!$F$4+Engine!$E$42*Book!$F$5))/60*(1+Switching_Uplift)+Engine!$B$23</f>
        <v/>
      </c>
      <c r="J30" s="36">
        <f>Engine!$B$25</f>
        <v/>
      </c>
      <c r="K30" s="33">
        <f>IFERROR(I30/J30,0)</f>
        <v/>
      </c>
      <c r="L30" s="30">
        <f>IF(I30&gt;=J30,1,0)</f>
        <v/>
      </c>
      <c r="M30" s="30">
        <f>IF(I30&gt;=C1_Internal_Avail,1,0)</f>
        <v/>
      </c>
    </row>
    <row r="31">
      <c r="A31" s="30" t="n">
        <v>25</v>
      </c>
      <c r="B31" s="55">
        <f>As_Of+ROUND(A31*30.4375,0)</f>
        <v/>
      </c>
      <c r="C31" s="36">
        <f>C30+G30*Monthly_Growth*Book!$F$2</f>
        <v/>
      </c>
      <c r="D31" s="36">
        <f>D30+G30*Monthly_Growth*Book!$F$3</f>
        <v/>
      </c>
      <c r="E31" s="36">
        <f>E30+G30*Monthly_Growth*Book!$F$4</f>
        <v/>
      </c>
      <c r="F31" s="36">
        <f>F30+G30*Monthly_Growth*Book!$F$5</f>
        <v/>
      </c>
      <c r="G31" s="36">
        <f>SUM(C31:F31)</f>
        <v/>
      </c>
      <c r="H31" s="36">
        <f>G31*Growth_Rate</f>
        <v/>
      </c>
      <c r="I31" s="36">
        <f>(SUMPRODUCT(C31:F31,Engine!$B$41:$E$41)+H31*(Engine!$B$42*Book!$F$2+Engine!$C$42*Book!$F$3+Engine!$D$42*Book!$F$4+Engine!$E$42*Book!$F$5))/60*(1+Switching_Uplift)+Engine!$B$23</f>
        <v/>
      </c>
      <c r="J31" s="36">
        <f>Engine!$B$25</f>
        <v/>
      </c>
      <c r="K31" s="33">
        <f>IFERROR(I31/J31,0)</f>
        <v/>
      </c>
      <c r="L31" s="30">
        <f>IF(I31&gt;=J31,1,0)</f>
        <v/>
      </c>
      <c r="M31" s="30">
        <f>IF(I31&gt;=C1_Internal_Avail,1,0)</f>
        <v/>
      </c>
    </row>
    <row r="32">
      <c r="A32" s="30" t="n">
        <v>26</v>
      </c>
      <c r="B32" s="55">
        <f>As_Of+ROUND(A32*30.4375,0)</f>
        <v/>
      </c>
      <c r="C32" s="36">
        <f>C31+G31*Monthly_Growth*Book!$F$2</f>
        <v/>
      </c>
      <c r="D32" s="36">
        <f>D31+G31*Monthly_Growth*Book!$F$3</f>
        <v/>
      </c>
      <c r="E32" s="36">
        <f>E31+G31*Monthly_Growth*Book!$F$4</f>
        <v/>
      </c>
      <c r="F32" s="36">
        <f>F31+G31*Monthly_Growth*Book!$F$5</f>
        <v/>
      </c>
      <c r="G32" s="36">
        <f>SUM(C32:F32)</f>
        <v/>
      </c>
      <c r="H32" s="36">
        <f>G32*Growth_Rate</f>
        <v/>
      </c>
      <c r="I32" s="36">
        <f>(SUMPRODUCT(C32:F32,Engine!$B$41:$E$41)+H32*(Engine!$B$42*Book!$F$2+Engine!$C$42*Book!$F$3+Engine!$D$42*Book!$F$4+Engine!$E$42*Book!$F$5))/60*(1+Switching_Uplift)+Engine!$B$23</f>
        <v/>
      </c>
      <c r="J32" s="36">
        <f>Engine!$B$25</f>
        <v/>
      </c>
      <c r="K32" s="33">
        <f>IFERROR(I32/J32,0)</f>
        <v/>
      </c>
      <c r="L32" s="30">
        <f>IF(I32&gt;=J32,1,0)</f>
        <v/>
      </c>
      <c r="M32" s="30">
        <f>IF(I32&gt;=C1_Internal_Avail,1,0)</f>
        <v/>
      </c>
    </row>
    <row r="33">
      <c r="A33" s="30" t="n">
        <v>27</v>
      </c>
      <c r="B33" s="55">
        <f>As_Of+ROUND(A33*30.4375,0)</f>
        <v/>
      </c>
      <c r="C33" s="36">
        <f>C32+G32*Monthly_Growth*Book!$F$2</f>
        <v/>
      </c>
      <c r="D33" s="36">
        <f>D32+G32*Monthly_Growth*Book!$F$3</f>
        <v/>
      </c>
      <c r="E33" s="36">
        <f>E32+G32*Monthly_Growth*Book!$F$4</f>
        <v/>
      </c>
      <c r="F33" s="36">
        <f>F32+G32*Monthly_Growth*Book!$F$5</f>
        <v/>
      </c>
      <c r="G33" s="36">
        <f>SUM(C33:F33)</f>
        <v/>
      </c>
      <c r="H33" s="36">
        <f>G33*Growth_Rate</f>
        <v/>
      </c>
      <c r="I33" s="36">
        <f>(SUMPRODUCT(C33:F33,Engine!$B$41:$E$41)+H33*(Engine!$B$42*Book!$F$2+Engine!$C$42*Book!$F$3+Engine!$D$42*Book!$F$4+Engine!$E$42*Book!$F$5))/60*(1+Switching_Uplift)+Engine!$B$23</f>
        <v/>
      </c>
      <c r="J33" s="36">
        <f>Engine!$B$25</f>
        <v/>
      </c>
      <c r="K33" s="33">
        <f>IFERROR(I33/J33,0)</f>
        <v/>
      </c>
      <c r="L33" s="30">
        <f>IF(I33&gt;=J33,1,0)</f>
        <v/>
      </c>
      <c r="M33" s="30">
        <f>IF(I33&gt;=C1_Internal_Avail,1,0)</f>
        <v/>
      </c>
    </row>
    <row r="34">
      <c r="A34" s="30" t="n">
        <v>28</v>
      </c>
      <c r="B34" s="55">
        <f>As_Of+ROUND(A34*30.4375,0)</f>
        <v/>
      </c>
      <c r="C34" s="36">
        <f>C33+G33*Monthly_Growth*Book!$F$2</f>
        <v/>
      </c>
      <c r="D34" s="36">
        <f>D33+G33*Monthly_Growth*Book!$F$3</f>
        <v/>
      </c>
      <c r="E34" s="36">
        <f>E33+G33*Monthly_Growth*Book!$F$4</f>
        <v/>
      </c>
      <c r="F34" s="36">
        <f>F33+G33*Monthly_Growth*Book!$F$5</f>
        <v/>
      </c>
      <c r="G34" s="36">
        <f>SUM(C34:F34)</f>
        <v/>
      </c>
      <c r="H34" s="36">
        <f>G34*Growth_Rate</f>
        <v/>
      </c>
      <c r="I34" s="36">
        <f>(SUMPRODUCT(C34:F34,Engine!$B$41:$E$41)+H34*(Engine!$B$42*Book!$F$2+Engine!$C$42*Book!$F$3+Engine!$D$42*Book!$F$4+Engine!$E$42*Book!$F$5))/60*(1+Switching_Uplift)+Engine!$B$23</f>
        <v/>
      </c>
      <c r="J34" s="36">
        <f>Engine!$B$25</f>
        <v/>
      </c>
      <c r="K34" s="33">
        <f>IFERROR(I34/J34,0)</f>
        <v/>
      </c>
      <c r="L34" s="30">
        <f>IF(I34&gt;=J34,1,0)</f>
        <v/>
      </c>
      <c r="M34" s="30">
        <f>IF(I34&gt;=C1_Internal_Avail,1,0)</f>
        <v/>
      </c>
    </row>
    <row r="35">
      <c r="A35" s="30" t="n">
        <v>29</v>
      </c>
      <c r="B35" s="55">
        <f>As_Of+ROUND(A35*30.4375,0)</f>
        <v/>
      </c>
      <c r="C35" s="36">
        <f>C34+G34*Monthly_Growth*Book!$F$2</f>
        <v/>
      </c>
      <c r="D35" s="36">
        <f>D34+G34*Monthly_Growth*Book!$F$3</f>
        <v/>
      </c>
      <c r="E35" s="36">
        <f>E34+G34*Monthly_Growth*Book!$F$4</f>
        <v/>
      </c>
      <c r="F35" s="36">
        <f>F34+G34*Monthly_Growth*Book!$F$5</f>
        <v/>
      </c>
      <c r="G35" s="36">
        <f>SUM(C35:F35)</f>
        <v/>
      </c>
      <c r="H35" s="36">
        <f>G35*Growth_Rate</f>
        <v/>
      </c>
      <c r="I35" s="36">
        <f>(SUMPRODUCT(C35:F35,Engine!$B$41:$E$41)+H35*(Engine!$B$42*Book!$F$2+Engine!$C$42*Book!$F$3+Engine!$D$42*Book!$F$4+Engine!$E$42*Book!$F$5))/60*(1+Switching_Uplift)+Engine!$B$23</f>
        <v/>
      </c>
      <c r="J35" s="36">
        <f>Engine!$B$25</f>
        <v/>
      </c>
      <c r="K35" s="33">
        <f>IFERROR(I35/J35,0)</f>
        <v/>
      </c>
      <c r="L35" s="30">
        <f>IF(I35&gt;=J35,1,0)</f>
        <v/>
      </c>
      <c r="M35" s="30">
        <f>IF(I35&gt;=C1_Internal_Avail,1,0)</f>
        <v/>
      </c>
    </row>
    <row r="36">
      <c r="A36" s="30" t="n">
        <v>30</v>
      </c>
      <c r="B36" s="55">
        <f>As_Of+ROUND(A36*30.4375,0)</f>
        <v/>
      </c>
      <c r="C36" s="36">
        <f>C35+G35*Monthly_Growth*Book!$F$2</f>
        <v/>
      </c>
      <c r="D36" s="36">
        <f>D35+G35*Monthly_Growth*Book!$F$3</f>
        <v/>
      </c>
      <c r="E36" s="36">
        <f>E35+G35*Monthly_Growth*Book!$F$4</f>
        <v/>
      </c>
      <c r="F36" s="36">
        <f>F35+G35*Monthly_Growth*Book!$F$5</f>
        <v/>
      </c>
      <c r="G36" s="36">
        <f>SUM(C36:F36)</f>
        <v/>
      </c>
      <c r="H36" s="36">
        <f>G36*Growth_Rate</f>
        <v/>
      </c>
      <c r="I36" s="36">
        <f>(SUMPRODUCT(C36:F36,Engine!$B$41:$E$41)+H36*(Engine!$B$42*Book!$F$2+Engine!$C$42*Book!$F$3+Engine!$D$42*Book!$F$4+Engine!$E$42*Book!$F$5))/60*(1+Switching_Uplift)+Engine!$B$23</f>
        <v/>
      </c>
      <c r="J36" s="36">
        <f>Engine!$B$25</f>
        <v/>
      </c>
      <c r="K36" s="33">
        <f>IFERROR(I36/J36,0)</f>
        <v/>
      </c>
      <c r="L36" s="30">
        <f>IF(I36&gt;=J36,1,0)</f>
        <v/>
      </c>
      <c r="M36" s="30">
        <f>IF(I36&gt;=C1_Internal_Avail,1,0)</f>
        <v/>
      </c>
    </row>
    <row r="37">
      <c r="A37" s="30" t="n">
        <v>31</v>
      </c>
      <c r="B37" s="55">
        <f>As_Of+ROUND(A37*30.4375,0)</f>
        <v/>
      </c>
      <c r="C37" s="36">
        <f>C36+G36*Monthly_Growth*Book!$F$2</f>
        <v/>
      </c>
      <c r="D37" s="36">
        <f>D36+G36*Monthly_Growth*Book!$F$3</f>
        <v/>
      </c>
      <c r="E37" s="36">
        <f>E36+G36*Monthly_Growth*Book!$F$4</f>
        <v/>
      </c>
      <c r="F37" s="36">
        <f>F36+G36*Monthly_Growth*Book!$F$5</f>
        <v/>
      </c>
      <c r="G37" s="36">
        <f>SUM(C37:F37)</f>
        <v/>
      </c>
      <c r="H37" s="36">
        <f>G37*Growth_Rate</f>
        <v/>
      </c>
      <c r="I37" s="36">
        <f>(SUMPRODUCT(C37:F37,Engine!$B$41:$E$41)+H37*(Engine!$B$42*Book!$F$2+Engine!$C$42*Book!$F$3+Engine!$D$42*Book!$F$4+Engine!$E$42*Book!$F$5))/60*(1+Switching_Uplift)+Engine!$B$23</f>
        <v/>
      </c>
      <c r="J37" s="36">
        <f>Engine!$B$25</f>
        <v/>
      </c>
      <c r="K37" s="33">
        <f>IFERROR(I37/J37,0)</f>
        <v/>
      </c>
      <c r="L37" s="30">
        <f>IF(I37&gt;=J37,1,0)</f>
        <v/>
      </c>
      <c r="M37" s="30">
        <f>IF(I37&gt;=C1_Internal_Avail,1,0)</f>
        <v/>
      </c>
    </row>
    <row r="38">
      <c r="A38" s="30" t="n">
        <v>32</v>
      </c>
      <c r="B38" s="55">
        <f>As_Of+ROUND(A38*30.4375,0)</f>
        <v/>
      </c>
      <c r="C38" s="36">
        <f>C37+G37*Monthly_Growth*Book!$F$2</f>
        <v/>
      </c>
      <c r="D38" s="36">
        <f>D37+G37*Monthly_Growth*Book!$F$3</f>
        <v/>
      </c>
      <c r="E38" s="36">
        <f>E37+G37*Monthly_Growth*Book!$F$4</f>
        <v/>
      </c>
      <c r="F38" s="36">
        <f>F37+G37*Monthly_Growth*Book!$F$5</f>
        <v/>
      </c>
      <c r="G38" s="36">
        <f>SUM(C38:F38)</f>
        <v/>
      </c>
      <c r="H38" s="36">
        <f>G38*Growth_Rate</f>
        <v/>
      </c>
      <c r="I38" s="36">
        <f>(SUMPRODUCT(C38:F38,Engine!$B$41:$E$41)+H38*(Engine!$B$42*Book!$F$2+Engine!$C$42*Book!$F$3+Engine!$D$42*Book!$F$4+Engine!$E$42*Book!$F$5))/60*(1+Switching_Uplift)+Engine!$B$23</f>
        <v/>
      </c>
      <c r="J38" s="36">
        <f>Engine!$B$25</f>
        <v/>
      </c>
      <c r="K38" s="33">
        <f>IFERROR(I38/J38,0)</f>
        <v/>
      </c>
      <c r="L38" s="30">
        <f>IF(I38&gt;=J38,1,0)</f>
        <v/>
      </c>
      <c r="M38" s="30">
        <f>IF(I38&gt;=C1_Internal_Avail,1,0)</f>
        <v/>
      </c>
    </row>
    <row r="39">
      <c r="A39" s="30" t="n">
        <v>33</v>
      </c>
      <c r="B39" s="55">
        <f>As_Of+ROUND(A39*30.4375,0)</f>
        <v/>
      </c>
      <c r="C39" s="36">
        <f>C38+G38*Monthly_Growth*Book!$F$2</f>
        <v/>
      </c>
      <c r="D39" s="36">
        <f>D38+G38*Monthly_Growth*Book!$F$3</f>
        <v/>
      </c>
      <c r="E39" s="36">
        <f>E38+G38*Monthly_Growth*Book!$F$4</f>
        <v/>
      </c>
      <c r="F39" s="36">
        <f>F38+G38*Monthly_Growth*Book!$F$5</f>
        <v/>
      </c>
      <c r="G39" s="36">
        <f>SUM(C39:F39)</f>
        <v/>
      </c>
      <c r="H39" s="36">
        <f>G39*Growth_Rate</f>
        <v/>
      </c>
      <c r="I39" s="36">
        <f>(SUMPRODUCT(C39:F39,Engine!$B$41:$E$41)+H39*(Engine!$B$42*Book!$F$2+Engine!$C$42*Book!$F$3+Engine!$D$42*Book!$F$4+Engine!$E$42*Book!$F$5))/60*(1+Switching_Uplift)+Engine!$B$23</f>
        <v/>
      </c>
      <c r="J39" s="36">
        <f>Engine!$B$25</f>
        <v/>
      </c>
      <c r="K39" s="33">
        <f>IFERROR(I39/J39,0)</f>
        <v/>
      </c>
      <c r="L39" s="30">
        <f>IF(I39&gt;=J39,1,0)</f>
        <v/>
      </c>
      <c r="M39" s="30">
        <f>IF(I39&gt;=C1_Internal_Avail,1,0)</f>
        <v/>
      </c>
    </row>
    <row r="40">
      <c r="A40" s="30" t="n">
        <v>34</v>
      </c>
      <c r="B40" s="55">
        <f>As_Of+ROUND(A40*30.4375,0)</f>
        <v/>
      </c>
      <c r="C40" s="36">
        <f>C39+G39*Monthly_Growth*Book!$F$2</f>
        <v/>
      </c>
      <c r="D40" s="36">
        <f>D39+G39*Monthly_Growth*Book!$F$3</f>
        <v/>
      </c>
      <c r="E40" s="36">
        <f>E39+G39*Monthly_Growth*Book!$F$4</f>
        <v/>
      </c>
      <c r="F40" s="36">
        <f>F39+G39*Monthly_Growth*Book!$F$5</f>
        <v/>
      </c>
      <c r="G40" s="36">
        <f>SUM(C40:F40)</f>
        <v/>
      </c>
      <c r="H40" s="36">
        <f>G40*Growth_Rate</f>
        <v/>
      </c>
      <c r="I40" s="36">
        <f>(SUMPRODUCT(C40:F40,Engine!$B$41:$E$41)+H40*(Engine!$B$42*Book!$F$2+Engine!$C$42*Book!$F$3+Engine!$D$42*Book!$F$4+Engine!$E$42*Book!$F$5))/60*(1+Switching_Uplift)+Engine!$B$23</f>
        <v/>
      </c>
      <c r="J40" s="36">
        <f>Engine!$B$25</f>
        <v/>
      </c>
      <c r="K40" s="33">
        <f>IFERROR(I40/J40,0)</f>
        <v/>
      </c>
      <c r="L40" s="30">
        <f>IF(I40&gt;=J40,1,0)</f>
        <v/>
      </c>
      <c r="M40" s="30">
        <f>IF(I40&gt;=C1_Internal_Avail,1,0)</f>
        <v/>
      </c>
    </row>
    <row r="41">
      <c r="A41" s="30" t="n">
        <v>35</v>
      </c>
      <c r="B41" s="55">
        <f>As_Of+ROUND(A41*30.4375,0)</f>
        <v/>
      </c>
      <c r="C41" s="36">
        <f>C40+G40*Monthly_Growth*Book!$F$2</f>
        <v/>
      </c>
      <c r="D41" s="36">
        <f>D40+G40*Monthly_Growth*Book!$F$3</f>
        <v/>
      </c>
      <c r="E41" s="36">
        <f>E40+G40*Monthly_Growth*Book!$F$4</f>
        <v/>
      </c>
      <c r="F41" s="36">
        <f>F40+G40*Monthly_Growth*Book!$F$5</f>
        <v/>
      </c>
      <c r="G41" s="36">
        <f>SUM(C41:F41)</f>
        <v/>
      </c>
      <c r="H41" s="36">
        <f>G41*Growth_Rate</f>
        <v/>
      </c>
      <c r="I41" s="36">
        <f>(SUMPRODUCT(C41:F41,Engine!$B$41:$E$41)+H41*(Engine!$B$42*Book!$F$2+Engine!$C$42*Book!$F$3+Engine!$D$42*Book!$F$4+Engine!$E$42*Book!$F$5))/60*(1+Switching_Uplift)+Engine!$B$23</f>
        <v/>
      </c>
      <c r="J41" s="36">
        <f>Engine!$B$25</f>
        <v/>
      </c>
      <c r="K41" s="33">
        <f>IFERROR(I41/J41,0)</f>
        <v/>
      </c>
      <c r="L41" s="30">
        <f>IF(I41&gt;=J41,1,0)</f>
        <v/>
      </c>
      <c r="M41" s="30">
        <f>IF(I41&gt;=C1_Internal_Avail,1,0)</f>
        <v/>
      </c>
    </row>
    <row r="42">
      <c r="A42" s="30" t="n">
        <v>36</v>
      </c>
      <c r="B42" s="55">
        <f>As_Of+ROUND(A42*30.4375,0)</f>
        <v/>
      </c>
      <c r="C42" s="36">
        <f>C41+G41*Monthly_Growth*Book!$F$2</f>
        <v/>
      </c>
      <c r="D42" s="36">
        <f>D41+G41*Monthly_Growth*Book!$F$3</f>
        <v/>
      </c>
      <c r="E42" s="36">
        <f>E41+G41*Monthly_Growth*Book!$F$4</f>
        <v/>
      </c>
      <c r="F42" s="36">
        <f>F41+G41*Monthly_Growth*Book!$F$5</f>
        <v/>
      </c>
      <c r="G42" s="36">
        <f>SUM(C42:F42)</f>
        <v/>
      </c>
      <c r="H42" s="36">
        <f>G42*Growth_Rate</f>
        <v/>
      </c>
      <c r="I42" s="36">
        <f>(SUMPRODUCT(C42:F42,Engine!$B$41:$E$41)+H42*(Engine!$B$42*Book!$F$2+Engine!$C$42*Book!$F$3+Engine!$D$42*Book!$F$4+Engine!$E$42*Book!$F$5))/60*(1+Switching_Uplift)+Engine!$B$23</f>
        <v/>
      </c>
      <c r="J42" s="36">
        <f>Engine!$B$25</f>
        <v/>
      </c>
      <c r="K42" s="33">
        <f>IFERROR(I42/J42,0)</f>
        <v/>
      </c>
      <c r="L42" s="30">
        <f>IF(I42&gt;=J42,1,0)</f>
        <v/>
      </c>
      <c r="M42" s="30">
        <f>IF(I42&gt;=C1_Internal_Avail,1,0)</f>
        <v/>
      </c>
    </row>
    <row r="43">
      <c r="A43" s="30" t="n">
        <v>37</v>
      </c>
      <c r="B43" s="55">
        <f>As_Of+ROUND(A43*30.4375,0)</f>
        <v/>
      </c>
      <c r="C43" s="36">
        <f>C42+G42*Monthly_Growth*Book!$F$2</f>
        <v/>
      </c>
      <c r="D43" s="36">
        <f>D42+G42*Monthly_Growth*Book!$F$3</f>
        <v/>
      </c>
      <c r="E43" s="36">
        <f>E42+G42*Monthly_Growth*Book!$F$4</f>
        <v/>
      </c>
      <c r="F43" s="36">
        <f>F42+G42*Monthly_Growth*Book!$F$5</f>
        <v/>
      </c>
      <c r="G43" s="36">
        <f>SUM(C43:F43)</f>
        <v/>
      </c>
      <c r="H43" s="36">
        <f>G43*Growth_Rate</f>
        <v/>
      </c>
      <c r="I43" s="36">
        <f>(SUMPRODUCT(C43:F43,Engine!$B$41:$E$41)+H43*(Engine!$B$42*Book!$F$2+Engine!$C$42*Book!$F$3+Engine!$D$42*Book!$F$4+Engine!$E$42*Book!$F$5))/60*(1+Switching_Uplift)+Engine!$B$23</f>
        <v/>
      </c>
      <c r="J43" s="36">
        <f>Engine!$B$25</f>
        <v/>
      </c>
      <c r="K43" s="33">
        <f>IFERROR(I43/J43,0)</f>
        <v/>
      </c>
      <c r="L43" s="30">
        <f>IF(I43&gt;=J43,1,0)</f>
        <v/>
      </c>
      <c r="M43" s="30">
        <f>IF(I43&gt;=C1_Internal_Avail,1,0)</f>
        <v/>
      </c>
    </row>
    <row r="44">
      <c r="A44" s="30" t="n">
        <v>38</v>
      </c>
      <c r="B44" s="55">
        <f>As_Of+ROUND(A44*30.4375,0)</f>
        <v/>
      </c>
      <c r="C44" s="36">
        <f>C43+G43*Monthly_Growth*Book!$F$2</f>
        <v/>
      </c>
      <c r="D44" s="36">
        <f>D43+G43*Monthly_Growth*Book!$F$3</f>
        <v/>
      </c>
      <c r="E44" s="36">
        <f>E43+G43*Monthly_Growth*Book!$F$4</f>
        <v/>
      </c>
      <c r="F44" s="36">
        <f>F43+G43*Monthly_Growth*Book!$F$5</f>
        <v/>
      </c>
      <c r="G44" s="36">
        <f>SUM(C44:F44)</f>
        <v/>
      </c>
      <c r="H44" s="36">
        <f>G44*Growth_Rate</f>
        <v/>
      </c>
      <c r="I44" s="36">
        <f>(SUMPRODUCT(C44:F44,Engine!$B$41:$E$41)+H44*(Engine!$B$42*Book!$F$2+Engine!$C$42*Book!$F$3+Engine!$D$42*Book!$F$4+Engine!$E$42*Book!$F$5))/60*(1+Switching_Uplift)+Engine!$B$23</f>
        <v/>
      </c>
      <c r="J44" s="36">
        <f>Engine!$B$25</f>
        <v/>
      </c>
      <c r="K44" s="33">
        <f>IFERROR(I44/J44,0)</f>
        <v/>
      </c>
      <c r="L44" s="30">
        <f>IF(I44&gt;=J44,1,0)</f>
        <v/>
      </c>
      <c r="M44" s="30">
        <f>IF(I44&gt;=C1_Internal_Avail,1,0)</f>
        <v/>
      </c>
    </row>
    <row r="45">
      <c r="A45" s="30" t="n">
        <v>39</v>
      </c>
      <c r="B45" s="55">
        <f>As_Of+ROUND(A45*30.4375,0)</f>
        <v/>
      </c>
      <c r="C45" s="36">
        <f>C44+G44*Monthly_Growth*Book!$F$2</f>
        <v/>
      </c>
      <c r="D45" s="36">
        <f>D44+G44*Monthly_Growth*Book!$F$3</f>
        <v/>
      </c>
      <c r="E45" s="36">
        <f>E44+G44*Monthly_Growth*Book!$F$4</f>
        <v/>
      </c>
      <c r="F45" s="36">
        <f>F44+G44*Monthly_Growth*Book!$F$5</f>
        <v/>
      </c>
      <c r="G45" s="36">
        <f>SUM(C45:F45)</f>
        <v/>
      </c>
      <c r="H45" s="36">
        <f>G45*Growth_Rate</f>
        <v/>
      </c>
      <c r="I45" s="36">
        <f>(SUMPRODUCT(C45:F45,Engine!$B$41:$E$41)+H45*(Engine!$B$42*Book!$F$2+Engine!$C$42*Book!$F$3+Engine!$D$42*Book!$F$4+Engine!$E$42*Book!$F$5))/60*(1+Switching_Uplift)+Engine!$B$23</f>
        <v/>
      </c>
      <c r="J45" s="36">
        <f>Engine!$B$25</f>
        <v/>
      </c>
      <c r="K45" s="33">
        <f>IFERROR(I45/J45,0)</f>
        <v/>
      </c>
      <c r="L45" s="30">
        <f>IF(I45&gt;=J45,1,0)</f>
        <v/>
      </c>
      <c r="M45" s="30">
        <f>IF(I45&gt;=C1_Internal_Avail,1,0)</f>
        <v/>
      </c>
    </row>
    <row r="46">
      <c r="A46" s="30" t="n">
        <v>40</v>
      </c>
      <c r="B46" s="55">
        <f>As_Of+ROUND(A46*30.4375,0)</f>
        <v/>
      </c>
      <c r="C46" s="36">
        <f>C45+G45*Monthly_Growth*Book!$F$2</f>
        <v/>
      </c>
      <c r="D46" s="36">
        <f>D45+G45*Monthly_Growth*Book!$F$3</f>
        <v/>
      </c>
      <c r="E46" s="36">
        <f>E45+G45*Monthly_Growth*Book!$F$4</f>
        <v/>
      </c>
      <c r="F46" s="36">
        <f>F45+G45*Monthly_Growth*Book!$F$5</f>
        <v/>
      </c>
      <c r="G46" s="36">
        <f>SUM(C46:F46)</f>
        <v/>
      </c>
      <c r="H46" s="36">
        <f>G46*Growth_Rate</f>
        <v/>
      </c>
      <c r="I46" s="36">
        <f>(SUMPRODUCT(C46:F46,Engine!$B$41:$E$41)+H46*(Engine!$B$42*Book!$F$2+Engine!$C$42*Book!$F$3+Engine!$D$42*Book!$F$4+Engine!$E$42*Book!$F$5))/60*(1+Switching_Uplift)+Engine!$B$23</f>
        <v/>
      </c>
      <c r="J46" s="36">
        <f>Engine!$B$25</f>
        <v/>
      </c>
      <c r="K46" s="33">
        <f>IFERROR(I46/J46,0)</f>
        <v/>
      </c>
      <c r="L46" s="30">
        <f>IF(I46&gt;=J46,1,0)</f>
        <v/>
      </c>
      <c r="M46" s="30">
        <f>IF(I46&gt;=C1_Internal_Avail,1,0)</f>
        <v/>
      </c>
    </row>
    <row r="47">
      <c r="A47" s="30" t="n">
        <v>41</v>
      </c>
      <c r="B47" s="55">
        <f>As_Of+ROUND(A47*30.4375,0)</f>
        <v/>
      </c>
      <c r="C47" s="36">
        <f>C46+G46*Monthly_Growth*Book!$F$2</f>
        <v/>
      </c>
      <c r="D47" s="36">
        <f>D46+G46*Monthly_Growth*Book!$F$3</f>
        <v/>
      </c>
      <c r="E47" s="36">
        <f>E46+G46*Monthly_Growth*Book!$F$4</f>
        <v/>
      </c>
      <c r="F47" s="36">
        <f>F46+G46*Monthly_Growth*Book!$F$5</f>
        <v/>
      </c>
      <c r="G47" s="36">
        <f>SUM(C47:F47)</f>
        <v/>
      </c>
      <c r="H47" s="36">
        <f>G47*Growth_Rate</f>
        <v/>
      </c>
      <c r="I47" s="36">
        <f>(SUMPRODUCT(C47:F47,Engine!$B$41:$E$41)+H47*(Engine!$B$42*Book!$F$2+Engine!$C$42*Book!$F$3+Engine!$D$42*Book!$F$4+Engine!$E$42*Book!$F$5))/60*(1+Switching_Uplift)+Engine!$B$23</f>
        <v/>
      </c>
      <c r="J47" s="36">
        <f>Engine!$B$25</f>
        <v/>
      </c>
      <c r="K47" s="33">
        <f>IFERROR(I47/J47,0)</f>
        <v/>
      </c>
      <c r="L47" s="30">
        <f>IF(I47&gt;=J47,1,0)</f>
        <v/>
      </c>
      <c r="M47" s="30">
        <f>IF(I47&gt;=C1_Internal_Avail,1,0)</f>
        <v/>
      </c>
    </row>
    <row r="48">
      <c r="A48" s="30" t="n">
        <v>42</v>
      </c>
      <c r="B48" s="55">
        <f>As_Of+ROUND(A48*30.4375,0)</f>
        <v/>
      </c>
      <c r="C48" s="36">
        <f>C47+G47*Monthly_Growth*Book!$F$2</f>
        <v/>
      </c>
      <c r="D48" s="36">
        <f>D47+G47*Monthly_Growth*Book!$F$3</f>
        <v/>
      </c>
      <c r="E48" s="36">
        <f>E47+G47*Monthly_Growth*Book!$F$4</f>
        <v/>
      </c>
      <c r="F48" s="36">
        <f>F47+G47*Monthly_Growth*Book!$F$5</f>
        <v/>
      </c>
      <c r="G48" s="36">
        <f>SUM(C48:F48)</f>
        <v/>
      </c>
      <c r="H48" s="36">
        <f>G48*Growth_Rate</f>
        <v/>
      </c>
      <c r="I48" s="36">
        <f>(SUMPRODUCT(C48:F48,Engine!$B$41:$E$41)+H48*(Engine!$B$42*Book!$F$2+Engine!$C$42*Book!$F$3+Engine!$D$42*Book!$F$4+Engine!$E$42*Book!$F$5))/60*(1+Switching_Uplift)+Engine!$B$23</f>
        <v/>
      </c>
      <c r="J48" s="36">
        <f>Engine!$B$25</f>
        <v/>
      </c>
      <c r="K48" s="33">
        <f>IFERROR(I48/J48,0)</f>
        <v/>
      </c>
      <c r="L48" s="30">
        <f>IF(I48&gt;=J48,1,0)</f>
        <v/>
      </c>
      <c r="M48" s="30">
        <f>IF(I48&gt;=C1_Internal_Avail,1,0)</f>
        <v/>
      </c>
    </row>
    <row r="49">
      <c r="A49" s="30" t="n">
        <v>43</v>
      </c>
      <c r="B49" s="55">
        <f>As_Of+ROUND(A49*30.4375,0)</f>
        <v/>
      </c>
      <c r="C49" s="36">
        <f>C48+G48*Monthly_Growth*Book!$F$2</f>
        <v/>
      </c>
      <c r="D49" s="36">
        <f>D48+G48*Monthly_Growth*Book!$F$3</f>
        <v/>
      </c>
      <c r="E49" s="36">
        <f>E48+G48*Monthly_Growth*Book!$F$4</f>
        <v/>
      </c>
      <c r="F49" s="36">
        <f>F48+G48*Monthly_Growth*Book!$F$5</f>
        <v/>
      </c>
      <c r="G49" s="36">
        <f>SUM(C49:F49)</f>
        <v/>
      </c>
      <c r="H49" s="36">
        <f>G49*Growth_Rate</f>
        <v/>
      </c>
      <c r="I49" s="36">
        <f>(SUMPRODUCT(C49:F49,Engine!$B$41:$E$41)+H49*(Engine!$B$42*Book!$F$2+Engine!$C$42*Book!$F$3+Engine!$D$42*Book!$F$4+Engine!$E$42*Book!$F$5))/60*(1+Switching_Uplift)+Engine!$B$23</f>
        <v/>
      </c>
      <c r="J49" s="36">
        <f>Engine!$B$25</f>
        <v/>
      </c>
      <c r="K49" s="33">
        <f>IFERROR(I49/J49,0)</f>
        <v/>
      </c>
      <c r="L49" s="30">
        <f>IF(I49&gt;=J49,1,0)</f>
        <v/>
      </c>
      <c r="M49" s="30">
        <f>IF(I49&gt;=C1_Internal_Avail,1,0)</f>
        <v/>
      </c>
    </row>
    <row r="50">
      <c r="A50" s="30" t="n">
        <v>44</v>
      </c>
      <c r="B50" s="55">
        <f>As_Of+ROUND(A50*30.4375,0)</f>
        <v/>
      </c>
      <c r="C50" s="36">
        <f>C49+G49*Monthly_Growth*Book!$F$2</f>
        <v/>
      </c>
      <c r="D50" s="36">
        <f>D49+G49*Monthly_Growth*Book!$F$3</f>
        <v/>
      </c>
      <c r="E50" s="36">
        <f>E49+G49*Monthly_Growth*Book!$F$4</f>
        <v/>
      </c>
      <c r="F50" s="36">
        <f>F49+G49*Monthly_Growth*Book!$F$5</f>
        <v/>
      </c>
      <c r="G50" s="36">
        <f>SUM(C50:F50)</f>
        <v/>
      </c>
      <c r="H50" s="36">
        <f>G50*Growth_Rate</f>
        <v/>
      </c>
      <c r="I50" s="36">
        <f>(SUMPRODUCT(C50:F50,Engine!$B$41:$E$41)+H50*(Engine!$B$42*Book!$F$2+Engine!$C$42*Book!$F$3+Engine!$D$42*Book!$F$4+Engine!$E$42*Book!$F$5))/60*(1+Switching_Uplift)+Engine!$B$23</f>
        <v/>
      </c>
      <c r="J50" s="36">
        <f>Engine!$B$25</f>
        <v/>
      </c>
      <c r="K50" s="33">
        <f>IFERROR(I50/J50,0)</f>
        <v/>
      </c>
      <c r="L50" s="30">
        <f>IF(I50&gt;=J50,1,0)</f>
        <v/>
      </c>
      <c r="M50" s="30">
        <f>IF(I50&gt;=C1_Internal_Avail,1,0)</f>
        <v/>
      </c>
    </row>
    <row r="51">
      <c r="A51" s="30" t="n">
        <v>45</v>
      </c>
      <c r="B51" s="55">
        <f>As_Of+ROUND(A51*30.4375,0)</f>
        <v/>
      </c>
      <c r="C51" s="36">
        <f>C50+G50*Monthly_Growth*Book!$F$2</f>
        <v/>
      </c>
      <c r="D51" s="36">
        <f>D50+G50*Monthly_Growth*Book!$F$3</f>
        <v/>
      </c>
      <c r="E51" s="36">
        <f>E50+G50*Monthly_Growth*Book!$F$4</f>
        <v/>
      </c>
      <c r="F51" s="36">
        <f>F50+G50*Monthly_Growth*Book!$F$5</f>
        <v/>
      </c>
      <c r="G51" s="36">
        <f>SUM(C51:F51)</f>
        <v/>
      </c>
      <c r="H51" s="36">
        <f>G51*Growth_Rate</f>
        <v/>
      </c>
      <c r="I51" s="36">
        <f>(SUMPRODUCT(C51:F51,Engine!$B$41:$E$41)+H51*(Engine!$B$42*Book!$F$2+Engine!$C$42*Book!$F$3+Engine!$D$42*Book!$F$4+Engine!$E$42*Book!$F$5))/60*(1+Switching_Uplift)+Engine!$B$23</f>
        <v/>
      </c>
      <c r="J51" s="36">
        <f>Engine!$B$25</f>
        <v/>
      </c>
      <c r="K51" s="33">
        <f>IFERROR(I51/J51,0)</f>
        <v/>
      </c>
      <c r="L51" s="30">
        <f>IF(I51&gt;=J51,1,0)</f>
        <v/>
      </c>
      <c r="M51" s="30">
        <f>IF(I51&gt;=C1_Internal_Avail,1,0)</f>
        <v/>
      </c>
    </row>
    <row r="52">
      <c r="A52" s="30" t="n">
        <v>46</v>
      </c>
      <c r="B52" s="55">
        <f>As_Of+ROUND(A52*30.4375,0)</f>
        <v/>
      </c>
      <c r="C52" s="36">
        <f>C51+G51*Monthly_Growth*Book!$F$2</f>
        <v/>
      </c>
      <c r="D52" s="36">
        <f>D51+G51*Monthly_Growth*Book!$F$3</f>
        <v/>
      </c>
      <c r="E52" s="36">
        <f>E51+G51*Monthly_Growth*Book!$F$4</f>
        <v/>
      </c>
      <c r="F52" s="36">
        <f>F51+G51*Monthly_Growth*Book!$F$5</f>
        <v/>
      </c>
      <c r="G52" s="36">
        <f>SUM(C52:F52)</f>
        <v/>
      </c>
      <c r="H52" s="36">
        <f>G52*Growth_Rate</f>
        <v/>
      </c>
      <c r="I52" s="36">
        <f>(SUMPRODUCT(C52:F52,Engine!$B$41:$E$41)+H52*(Engine!$B$42*Book!$F$2+Engine!$C$42*Book!$F$3+Engine!$D$42*Book!$F$4+Engine!$E$42*Book!$F$5))/60*(1+Switching_Uplift)+Engine!$B$23</f>
        <v/>
      </c>
      <c r="J52" s="36">
        <f>Engine!$B$25</f>
        <v/>
      </c>
      <c r="K52" s="33">
        <f>IFERROR(I52/J52,0)</f>
        <v/>
      </c>
      <c r="L52" s="30">
        <f>IF(I52&gt;=J52,1,0)</f>
        <v/>
      </c>
      <c r="M52" s="30">
        <f>IF(I52&gt;=C1_Internal_Avail,1,0)</f>
        <v/>
      </c>
    </row>
    <row r="53">
      <c r="A53" s="30" t="n">
        <v>47</v>
      </c>
      <c r="B53" s="55">
        <f>As_Of+ROUND(A53*30.4375,0)</f>
        <v/>
      </c>
      <c r="C53" s="36">
        <f>C52+G52*Monthly_Growth*Book!$F$2</f>
        <v/>
      </c>
      <c r="D53" s="36">
        <f>D52+G52*Monthly_Growth*Book!$F$3</f>
        <v/>
      </c>
      <c r="E53" s="36">
        <f>E52+G52*Monthly_Growth*Book!$F$4</f>
        <v/>
      </c>
      <c r="F53" s="36">
        <f>F52+G52*Monthly_Growth*Book!$F$5</f>
        <v/>
      </c>
      <c r="G53" s="36">
        <f>SUM(C53:F53)</f>
        <v/>
      </c>
      <c r="H53" s="36">
        <f>G53*Growth_Rate</f>
        <v/>
      </c>
      <c r="I53" s="36">
        <f>(SUMPRODUCT(C53:F53,Engine!$B$41:$E$41)+H53*(Engine!$B$42*Book!$F$2+Engine!$C$42*Book!$F$3+Engine!$D$42*Book!$F$4+Engine!$E$42*Book!$F$5))/60*(1+Switching_Uplift)+Engine!$B$23</f>
        <v/>
      </c>
      <c r="J53" s="36">
        <f>Engine!$B$25</f>
        <v/>
      </c>
      <c r="K53" s="33">
        <f>IFERROR(I53/J53,0)</f>
        <v/>
      </c>
      <c r="L53" s="30">
        <f>IF(I53&gt;=J53,1,0)</f>
        <v/>
      </c>
      <c r="M53" s="30">
        <f>IF(I53&gt;=C1_Internal_Avail,1,0)</f>
        <v/>
      </c>
    </row>
    <row r="54">
      <c r="A54" s="30" t="n">
        <v>48</v>
      </c>
      <c r="B54" s="55">
        <f>As_Of+ROUND(A54*30.4375,0)</f>
        <v/>
      </c>
      <c r="C54" s="36">
        <f>C53+G53*Monthly_Growth*Book!$F$2</f>
        <v/>
      </c>
      <c r="D54" s="36">
        <f>D53+G53*Monthly_Growth*Book!$F$3</f>
        <v/>
      </c>
      <c r="E54" s="36">
        <f>E53+G53*Monthly_Growth*Book!$F$4</f>
        <v/>
      </c>
      <c r="F54" s="36">
        <f>F53+G53*Monthly_Growth*Book!$F$5</f>
        <v/>
      </c>
      <c r="G54" s="36">
        <f>SUM(C54:F54)</f>
        <v/>
      </c>
      <c r="H54" s="36">
        <f>G54*Growth_Rate</f>
        <v/>
      </c>
      <c r="I54" s="36">
        <f>(SUMPRODUCT(C54:F54,Engine!$B$41:$E$41)+H54*(Engine!$B$42*Book!$F$2+Engine!$C$42*Book!$F$3+Engine!$D$42*Book!$F$4+Engine!$E$42*Book!$F$5))/60*(1+Switching_Uplift)+Engine!$B$23</f>
        <v/>
      </c>
      <c r="J54" s="36">
        <f>Engine!$B$25</f>
        <v/>
      </c>
      <c r="K54" s="33">
        <f>IFERROR(I54/J54,0)</f>
        <v/>
      </c>
      <c r="L54" s="30">
        <f>IF(I54&gt;=J54,1,0)</f>
        <v/>
      </c>
      <c r="M54" s="30">
        <f>IF(I54&gt;=C1_Internal_Avail,1,0)</f>
        <v/>
      </c>
    </row>
    <row r="55">
      <c r="A55" s="30" t="n">
        <v>49</v>
      </c>
      <c r="B55" s="55">
        <f>As_Of+ROUND(A55*30.4375,0)</f>
        <v/>
      </c>
      <c r="C55" s="36">
        <f>C54+G54*Monthly_Growth*Book!$F$2</f>
        <v/>
      </c>
      <c r="D55" s="36">
        <f>D54+G54*Monthly_Growth*Book!$F$3</f>
        <v/>
      </c>
      <c r="E55" s="36">
        <f>E54+G54*Monthly_Growth*Book!$F$4</f>
        <v/>
      </c>
      <c r="F55" s="36">
        <f>F54+G54*Monthly_Growth*Book!$F$5</f>
        <v/>
      </c>
      <c r="G55" s="36">
        <f>SUM(C55:F55)</f>
        <v/>
      </c>
      <c r="H55" s="36">
        <f>G55*Growth_Rate</f>
        <v/>
      </c>
      <c r="I55" s="36">
        <f>(SUMPRODUCT(C55:F55,Engine!$B$41:$E$41)+H55*(Engine!$B$42*Book!$F$2+Engine!$C$42*Book!$F$3+Engine!$D$42*Book!$F$4+Engine!$E$42*Book!$F$5))/60*(1+Switching_Uplift)+Engine!$B$23</f>
        <v/>
      </c>
      <c r="J55" s="36">
        <f>Engine!$B$25</f>
        <v/>
      </c>
      <c r="K55" s="33">
        <f>IFERROR(I55/J55,0)</f>
        <v/>
      </c>
      <c r="L55" s="30">
        <f>IF(I55&gt;=J55,1,0)</f>
        <v/>
      </c>
      <c r="M55" s="30">
        <f>IF(I55&gt;=C1_Internal_Avail,1,0)</f>
        <v/>
      </c>
    </row>
    <row r="56">
      <c r="A56" s="30" t="n">
        <v>50</v>
      </c>
      <c r="B56" s="55">
        <f>As_Of+ROUND(A56*30.4375,0)</f>
        <v/>
      </c>
      <c r="C56" s="36">
        <f>C55+G55*Monthly_Growth*Book!$F$2</f>
        <v/>
      </c>
      <c r="D56" s="36">
        <f>D55+G55*Monthly_Growth*Book!$F$3</f>
        <v/>
      </c>
      <c r="E56" s="36">
        <f>E55+G55*Monthly_Growth*Book!$F$4</f>
        <v/>
      </c>
      <c r="F56" s="36">
        <f>F55+G55*Monthly_Growth*Book!$F$5</f>
        <v/>
      </c>
      <c r="G56" s="36">
        <f>SUM(C56:F56)</f>
        <v/>
      </c>
      <c r="H56" s="36">
        <f>G56*Growth_Rate</f>
        <v/>
      </c>
      <c r="I56" s="36">
        <f>(SUMPRODUCT(C56:F56,Engine!$B$41:$E$41)+H56*(Engine!$B$42*Book!$F$2+Engine!$C$42*Book!$F$3+Engine!$D$42*Book!$F$4+Engine!$E$42*Book!$F$5))/60*(1+Switching_Uplift)+Engine!$B$23</f>
        <v/>
      </c>
      <c r="J56" s="36">
        <f>Engine!$B$25</f>
        <v/>
      </c>
      <c r="K56" s="33">
        <f>IFERROR(I56/J56,0)</f>
        <v/>
      </c>
      <c r="L56" s="30">
        <f>IF(I56&gt;=J56,1,0)</f>
        <v/>
      </c>
      <c r="M56" s="30">
        <f>IF(I56&gt;=C1_Internal_Avail,1,0)</f>
        <v/>
      </c>
    </row>
    <row r="57">
      <c r="A57" s="30" t="n">
        <v>51</v>
      </c>
      <c r="B57" s="55">
        <f>As_Of+ROUND(A57*30.4375,0)</f>
        <v/>
      </c>
      <c r="C57" s="36">
        <f>C56+G56*Monthly_Growth*Book!$F$2</f>
        <v/>
      </c>
      <c r="D57" s="36">
        <f>D56+G56*Monthly_Growth*Book!$F$3</f>
        <v/>
      </c>
      <c r="E57" s="36">
        <f>E56+G56*Monthly_Growth*Book!$F$4</f>
        <v/>
      </c>
      <c r="F57" s="36">
        <f>F56+G56*Monthly_Growth*Book!$F$5</f>
        <v/>
      </c>
      <c r="G57" s="36">
        <f>SUM(C57:F57)</f>
        <v/>
      </c>
      <c r="H57" s="36">
        <f>G57*Growth_Rate</f>
        <v/>
      </c>
      <c r="I57" s="36">
        <f>(SUMPRODUCT(C57:F57,Engine!$B$41:$E$41)+H57*(Engine!$B$42*Book!$F$2+Engine!$C$42*Book!$F$3+Engine!$D$42*Book!$F$4+Engine!$E$42*Book!$F$5))/60*(1+Switching_Uplift)+Engine!$B$23</f>
        <v/>
      </c>
      <c r="J57" s="36">
        <f>Engine!$B$25</f>
        <v/>
      </c>
      <c r="K57" s="33">
        <f>IFERROR(I57/J57,0)</f>
        <v/>
      </c>
      <c r="L57" s="30">
        <f>IF(I57&gt;=J57,1,0)</f>
        <v/>
      </c>
      <c r="M57" s="30">
        <f>IF(I57&gt;=C1_Internal_Avail,1,0)</f>
        <v/>
      </c>
    </row>
    <row r="58">
      <c r="A58" s="30" t="n">
        <v>52</v>
      </c>
      <c r="B58" s="55">
        <f>As_Of+ROUND(A58*30.4375,0)</f>
        <v/>
      </c>
      <c r="C58" s="36">
        <f>C57+G57*Monthly_Growth*Book!$F$2</f>
        <v/>
      </c>
      <c r="D58" s="36">
        <f>D57+G57*Monthly_Growth*Book!$F$3</f>
        <v/>
      </c>
      <c r="E58" s="36">
        <f>E57+G57*Monthly_Growth*Book!$F$4</f>
        <v/>
      </c>
      <c r="F58" s="36">
        <f>F57+G57*Monthly_Growth*Book!$F$5</f>
        <v/>
      </c>
      <c r="G58" s="36">
        <f>SUM(C58:F58)</f>
        <v/>
      </c>
      <c r="H58" s="36">
        <f>G58*Growth_Rate</f>
        <v/>
      </c>
      <c r="I58" s="36">
        <f>(SUMPRODUCT(C58:F58,Engine!$B$41:$E$41)+H58*(Engine!$B$42*Book!$F$2+Engine!$C$42*Book!$F$3+Engine!$D$42*Book!$F$4+Engine!$E$42*Book!$F$5))/60*(1+Switching_Uplift)+Engine!$B$23</f>
        <v/>
      </c>
      <c r="J58" s="36">
        <f>Engine!$B$25</f>
        <v/>
      </c>
      <c r="K58" s="33">
        <f>IFERROR(I58/J58,0)</f>
        <v/>
      </c>
      <c r="L58" s="30">
        <f>IF(I58&gt;=J58,1,0)</f>
        <v/>
      </c>
      <c r="M58" s="30">
        <f>IF(I58&gt;=C1_Internal_Avail,1,0)</f>
        <v/>
      </c>
    </row>
    <row r="59">
      <c r="A59" s="30" t="n">
        <v>53</v>
      </c>
      <c r="B59" s="55">
        <f>As_Of+ROUND(A59*30.4375,0)</f>
        <v/>
      </c>
      <c r="C59" s="36">
        <f>C58+G58*Monthly_Growth*Book!$F$2</f>
        <v/>
      </c>
      <c r="D59" s="36">
        <f>D58+G58*Monthly_Growth*Book!$F$3</f>
        <v/>
      </c>
      <c r="E59" s="36">
        <f>E58+G58*Monthly_Growth*Book!$F$4</f>
        <v/>
      </c>
      <c r="F59" s="36">
        <f>F58+G58*Monthly_Growth*Book!$F$5</f>
        <v/>
      </c>
      <c r="G59" s="36">
        <f>SUM(C59:F59)</f>
        <v/>
      </c>
      <c r="H59" s="36">
        <f>G59*Growth_Rate</f>
        <v/>
      </c>
      <c r="I59" s="36">
        <f>(SUMPRODUCT(C59:F59,Engine!$B$41:$E$41)+H59*(Engine!$B$42*Book!$F$2+Engine!$C$42*Book!$F$3+Engine!$D$42*Book!$F$4+Engine!$E$42*Book!$F$5))/60*(1+Switching_Uplift)+Engine!$B$23</f>
        <v/>
      </c>
      <c r="J59" s="36">
        <f>Engine!$B$25</f>
        <v/>
      </c>
      <c r="K59" s="33">
        <f>IFERROR(I59/J59,0)</f>
        <v/>
      </c>
      <c r="L59" s="30">
        <f>IF(I59&gt;=J59,1,0)</f>
        <v/>
      </c>
      <c r="M59" s="30">
        <f>IF(I59&gt;=C1_Internal_Avail,1,0)</f>
        <v/>
      </c>
    </row>
    <row r="60">
      <c r="A60" s="30" t="n">
        <v>54</v>
      </c>
      <c r="B60" s="55">
        <f>As_Of+ROUND(A60*30.4375,0)</f>
        <v/>
      </c>
      <c r="C60" s="36">
        <f>C59+G59*Monthly_Growth*Book!$F$2</f>
        <v/>
      </c>
      <c r="D60" s="36">
        <f>D59+G59*Monthly_Growth*Book!$F$3</f>
        <v/>
      </c>
      <c r="E60" s="36">
        <f>E59+G59*Monthly_Growth*Book!$F$4</f>
        <v/>
      </c>
      <c r="F60" s="36">
        <f>F59+G59*Monthly_Growth*Book!$F$5</f>
        <v/>
      </c>
      <c r="G60" s="36">
        <f>SUM(C60:F60)</f>
        <v/>
      </c>
      <c r="H60" s="36">
        <f>G60*Growth_Rate</f>
        <v/>
      </c>
      <c r="I60" s="36">
        <f>(SUMPRODUCT(C60:F60,Engine!$B$41:$E$41)+H60*(Engine!$B$42*Book!$F$2+Engine!$C$42*Book!$F$3+Engine!$D$42*Book!$F$4+Engine!$E$42*Book!$F$5))/60*(1+Switching_Uplift)+Engine!$B$23</f>
        <v/>
      </c>
      <c r="J60" s="36">
        <f>Engine!$B$25</f>
        <v/>
      </c>
      <c r="K60" s="33">
        <f>IFERROR(I60/J60,0)</f>
        <v/>
      </c>
      <c r="L60" s="30">
        <f>IF(I60&gt;=J60,1,0)</f>
        <v/>
      </c>
      <c r="M60" s="30">
        <f>IF(I60&gt;=C1_Internal_Avail,1,0)</f>
        <v/>
      </c>
    </row>
    <row r="61">
      <c r="A61" s="30" t="n">
        <v>55</v>
      </c>
      <c r="B61" s="55">
        <f>As_Of+ROUND(A61*30.4375,0)</f>
        <v/>
      </c>
      <c r="C61" s="36">
        <f>C60+G60*Monthly_Growth*Book!$F$2</f>
        <v/>
      </c>
      <c r="D61" s="36">
        <f>D60+G60*Monthly_Growth*Book!$F$3</f>
        <v/>
      </c>
      <c r="E61" s="36">
        <f>E60+G60*Monthly_Growth*Book!$F$4</f>
        <v/>
      </c>
      <c r="F61" s="36">
        <f>F60+G60*Monthly_Growth*Book!$F$5</f>
        <v/>
      </c>
      <c r="G61" s="36">
        <f>SUM(C61:F61)</f>
        <v/>
      </c>
      <c r="H61" s="36">
        <f>G61*Growth_Rate</f>
        <v/>
      </c>
      <c r="I61" s="36">
        <f>(SUMPRODUCT(C61:F61,Engine!$B$41:$E$41)+H61*(Engine!$B$42*Book!$F$2+Engine!$C$42*Book!$F$3+Engine!$D$42*Book!$F$4+Engine!$E$42*Book!$F$5))/60*(1+Switching_Uplift)+Engine!$B$23</f>
        <v/>
      </c>
      <c r="J61" s="36">
        <f>Engine!$B$25</f>
        <v/>
      </c>
      <c r="K61" s="33">
        <f>IFERROR(I61/J61,0)</f>
        <v/>
      </c>
      <c r="L61" s="30">
        <f>IF(I61&gt;=J61,1,0)</f>
        <v/>
      </c>
      <c r="M61" s="30">
        <f>IF(I61&gt;=C1_Internal_Avail,1,0)</f>
        <v/>
      </c>
    </row>
    <row r="62">
      <c r="A62" s="30" t="n">
        <v>56</v>
      </c>
      <c r="B62" s="55">
        <f>As_Of+ROUND(A62*30.4375,0)</f>
        <v/>
      </c>
      <c r="C62" s="36">
        <f>C61+G61*Monthly_Growth*Book!$F$2</f>
        <v/>
      </c>
      <c r="D62" s="36">
        <f>D61+G61*Monthly_Growth*Book!$F$3</f>
        <v/>
      </c>
      <c r="E62" s="36">
        <f>E61+G61*Monthly_Growth*Book!$F$4</f>
        <v/>
      </c>
      <c r="F62" s="36">
        <f>F61+G61*Monthly_Growth*Book!$F$5</f>
        <v/>
      </c>
      <c r="G62" s="36">
        <f>SUM(C62:F62)</f>
        <v/>
      </c>
      <c r="H62" s="36">
        <f>G62*Growth_Rate</f>
        <v/>
      </c>
      <c r="I62" s="36">
        <f>(SUMPRODUCT(C62:F62,Engine!$B$41:$E$41)+H62*(Engine!$B$42*Book!$F$2+Engine!$C$42*Book!$F$3+Engine!$D$42*Book!$F$4+Engine!$E$42*Book!$F$5))/60*(1+Switching_Uplift)+Engine!$B$23</f>
        <v/>
      </c>
      <c r="J62" s="36">
        <f>Engine!$B$25</f>
        <v/>
      </c>
      <c r="K62" s="33">
        <f>IFERROR(I62/J62,0)</f>
        <v/>
      </c>
      <c r="L62" s="30">
        <f>IF(I62&gt;=J62,1,0)</f>
        <v/>
      </c>
      <c r="M62" s="30">
        <f>IF(I62&gt;=C1_Internal_Avail,1,0)</f>
        <v/>
      </c>
    </row>
    <row r="63">
      <c r="A63" s="30" t="n">
        <v>57</v>
      </c>
      <c r="B63" s="55">
        <f>As_Of+ROUND(A63*30.4375,0)</f>
        <v/>
      </c>
      <c r="C63" s="36">
        <f>C62+G62*Monthly_Growth*Book!$F$2</f>
        <v/>
      </c>
      <c r="D63" s="36">
        <f>D62+G62*Monthly_Growth*Book!$F$3</f>
        <v/>
      </c>
      <c r="E63" s="36">
        <f>E62+G62*Monthly_Growth*Book!$F$4</f>
        <v/>
      </c>
      <c r="F63" s="36">
        <f>F62+G62*Monthly_Growth*Book!$F$5</f>
        <v/>
      </c>
      <c r="G63" s="36">
        <f>SUM(C63:F63)</f>
        <v/>
      </c>
      <c r="H63" s="36">
        <f>G63*Growth_Rate</f>
        <v/>
      </c>
      <c r="I63" s="36">
        <f>(SUMPRODUCT(C63:F63,Engine!$B$41:$E$41)+H63*(Engine!$B$42*Book!$F$2+Engine!$C$42*Book!$F$3+Engine!$D$42*Book!$F$4+Engine!$E$42*Book!$F$5))/60*(1+Switching_Uplift)+Engine!$B$23</f>
        <v/>
      </c>
      <c r="J63" s="36">
        <f>Engine!$B$25</f>
        <v/>
      </c>
      <c r="K63" s="33">
        <f>IFERROR(I63/J63,0)</f>
        <v/>
      </c>
      <c r="L63" s="30">
        <f>IF(I63&gt;=J63,1,0)</f>
        <v/>
      </c>
      <c r="M63" s="30">
        <f>IF(I63&gt;=C1_Internal_Avail,1,0)</f>
        <v/>
      </c>
    </row>
    <row r="64">
      <c r="A64" s="30" t="n">
        <v>58</v>
      </c>
      <c r="B64" s="55">
        <f>As_Of+ROUND(A64*30.4375,0)</f>
        <v/>
      </c>
      <c r="C64" s="36">
        <f>C63+G63*Monthly_Growth*Book!$F$2</f>
        <v/>
      </c>
      <c r="D64" s="36">
        <f>D63+G63*Monthly_Growth*Book!$F$3</f>
        <v/>
      </c>
      <c r="E64" s="36">
        <f>E63+G63*Monthly_Growth*Book!$F$4</f>
        <v/>
      </c>
      <c r="F64" s="36">
        <f>F63+G63*Monthly_Growth*Book!$F$5</f>
        <v/>
      </c>
      <c r="G64" s="36">
        <f>SUM(C64:F64)</f>
        <v/>
      </c>
      <c r="H64" s="36">
        <f>G64*Growth_Rate</f>
        <v/>
      </c>
      <c r="I64" s="36">
        <f>(SUMPRODUCT(C64:F64,Engine!$B$41:$E$41)+H64*(Engine!$B$42*Book!$F$2+Engine!$C$42*Book!$F$3+Engine!$D$42*Book!$F$4+Engine!$E$42*Book!$F$5))/60*(1+Switching_Uplift)+Engine!$B$23</f>
        <v/>
      </c>
      <c r="J64" s="36">
        <f>Engine!$B$25</f>
        <v/>
      </c>
      <c r="K64" s="33">
        <f>IFERROR(I64/J64,0)</f>
        <v/>
      </c>
      <c r="L64" s="30">
        <f>IF(I64&gt;=J64,1,0)</f>
        <v/>
      </c>
      <c r="M64" s="30">
        <f>IF(I64&gt;=C1_Internal_Avail,1,0)</f>
        <v/>
      </c>
    </row>
    <row r="65">
      <c r="A65" s="30" t="n">
        <v>59</v>
      </c>
      <c r="B65" s="55">
        <f>As_Of+ROUND(A65*30.4375,0)</f>
        <v/>
      </c>
      <c r="C65" s="36">
        <f>C64+G64*Monthly_Growth*Book!$F$2</f>
        <v/>
      </c>
      <c r="D65" s="36">
        <f>D64+G64*Monthly_Growth*Book!$F$3</f>
        <v/>
      </c>
      <c r="E65" s="36">
        <f>E64+G64*Monthly_Growth*Book!$F$4</f>
        <v/>
      </c>
      <c r="F65" s="36">
        <f>F64+G64*Monthly_Growth*Book!$F$5</f>
        <v/>
      </c>
      <c r="G65" s="36">
        <f>SUM(C65:F65)</f>
        <v/>
      </c>
      <c r="H65" s="36">
        <f>G65*Growth_Rate</f>
        <v/>
      </c>
      <c r="I65" s="36">
        <f>(SUMPRODUCT(C65:F65,Engine!$B$41:$E$41)+H65*(Engine!$B$42*Book!$F$2+Engine!$C$42*Book!$F$3+Engine!$D$42*Book!$F$4+Engine!$E$42*Book!$F$5))/60*(1+Switching_Uplift)+Engine!$B$23</f>
        <v/>
      </c>
      <c r="J65" s="36">
        <f>Engine!$B$25</f>
        <v/>
      </c>
      <c r="K65" s="33">
        <f>IFERROR(I65/J65,0)</f>
        <v/>
      </c>
      <c r="L65" s="30">
        <f>IF(I65&gt;=J65,1,0)</f>
        <v/>
      </c>
      <c r="M65" s="30">
        <f>IF(I65&gt;=C1_Internal_Avail,1,0)</f>
        <v/>
      </c>
    </row>
    <row r="66">
      <c r="A66" s="30" t="n">
        <v>60</v>
      </c>
      <c r="B66" s="55">
        <f>As_Of+ROUND(A66*30.4375,0)</f>
        <v/>
      </c>
      <c r="C66" s="36">
        <f>C65+G65*Monthly_Growth*Book!$F$2</f>
        <v/>
      </c>
      <c r="D66" s="36">
        <f>D65+G65*Monthly_Growth*Book!$F$3</f>
        <v/>
      </c>
      <c r="E66" s="36">
        <f>E65+G65*Monthly_Growth*Book!$F$4</f>
        <v/>
      </c>
      <c r="F66" s="36">
        <f>F65+G65*Monthly_Growth*Book!$F$5</f>
        <v/>
      </c>
      <c r="G66" s="36">
        <f>SUM(C66:F66)</f>
        <v/>
      </c>
      <c r="H66" s="36">
        <f>G66*Growth_Rate</f>
        <v/>
      </c>
      <c r="I66" s="36">
        <f>(SUMPRODUCT(C66:F66,Engine!$B$41:$E$41)+H66*(Engine!$B$42*Book!$F$2+Engine!$C$42*Book!$F$3+Engine!$D$42*Book!$F$4+Engine!$E$42*Book!$F$5))/60*(1+Switching_Uplift)+Engine!$B$23</f>
        <v/>
      </c>
      <c r="J66" s="36">
        <f>Engine!$B$25</f>
        <v/>
      </c>
      <c r="K66" s="33">
        <f>IFERROR(I66/J66,0)</f>
        <v/>
      </c>
      <c r="L66" s="30">
        <f>IF(I66&gt;=J66,1,0)</f>
        <v/>
      </c>
      <c r="M66" s="30">
        <f>IF(I66&gt;=C1_Internal_Avail,1,0)</f>
        <v/>
      </c>
    </row>
    <row r="67">
      <c r="A67" s="30" t="n">
        <v>61</v>
      </c>
      <c r="B67" s="55">
        <f>As_Of+ROUND(A67*30.4375,0)</f>
        <v/>
      </c>
      <c r="C67" s="36">
        <f>C66+G66*Monthly_Growth*Book!$F$2</f>
        <v/>
      </c>
      <c r="D67" s="36">
        <f>D66+G66*Monthly_Growth*Book!$F$3</f>
        <v/>
      </c>
      <c r="E67" s="36">
        <f>E66+G66*Monthly_Growth*Book!$F$4</f>
        <v/>
      </c>
      <c r="F67" s="36">
        <f>F66+G66*Monthly_Growth*Book!$F$5</f>
        <v/>
      </c>
      <c r="G67" s="36">
        <f>SUM(C67:F67)</f>
        <v/>
      </c>
      <c r="H67" s="36">
        <f>G67*Growth_Rate</f>
        <v/>
      </c>
      <c r="I67" s="36">
        <f>(SUMPRODUCT(C67:F67,Engine!$B$41:$E$41)+H67*(Engine!$B$42*Book!$F$2+Engine!$C$42*Book!$F$3+Engine!$D$42*Book!$F$4+Engine!$E$42*Book!$F$5))/60*(1+Switching_Uplift)+Engine!$B$23</f>
        <v/>
      </c>
      <c r="J67" s="36">
        <f>Engine!$B$25</f>
        <v/>
      </c>
      <c r="K67" s="33">
        <f>IFERROR(I67/J67,0)</f>
        <v/>
      </c>
      <c r="L67" s="30">
        <f>IF(I67&gt;=J67,1,0)</f>
        <v/>
      </c>
      <c r="M67" s="30">
        <f>IF(I67&gt;=C1_Internal_Avail,1,0)</f>
        <v/>
      </c>
    </row>
    <row r="68">
      <c r="A68" s="30" t="n">
        <v>62</v>
      </c>
      <c r="B68" s="55">
        <f>As_Of+ROUND(A68*30.4375,0)</f>
        <v/>
      </c>
      <c r="C68" s="36">
        <f>C67+G67*Monthly_Growth*Book!$F$2</f>
        <v/>
      </c>
      <c r="D68" s="36">
        <f>D67+G67*Monthly_Growth*Book!$F$3</f>
        <v/>
      </c>
      <c r="E68" s="36">
        <f>E67+G67*Monthly_Growth*Book!$F$4</f>
        <v/>
      </c>
      <c r="F68" s="36">
        <f>F67+G67*Monthly_Growth*Book!$F$5</f>
        <v/>
      </c>
      <c r="G68" s="36">
        <f>SUM(C68:F68)</f>
        <v/>
      </c>
      <c r="H68" s="36">
        <f>G68*Growth_Rate</f>
        <v/>
      </c>
      <c r="I68" s="36">
        <f>(SUMPRODUCT(C68:F68,Engine!$B$41:$E$41)+H68*(Engine!$B$42*Book!$F$2+Engine!$C$42*Book!$F$3+Engine!$D$42*Book!$F$4+Engine!$E$42*Book!$F$5))/60*(1+Switching_Uplift)+Engine!$B$23</f>
        <v/>
      </c>
      <c r="J68" s="36">
        <f>Engine!$B$25</f>
        <v/>
      </c>
      <c r="K68" s="33">
        <f>IFERROR(I68/J68,0)</f>
        <v/>
      </c>
      <c r="L68" s="30">
        <f>IF(I68&gt;=J68,1,0)</f>
        <v/>
      </c>
      <c r="M68" s="30">
        <f>IF(I68&gt;=C1_Internal_Avail,1,0)</f>
        <v/>
      </c>
    </row>
    <row r="69">
      <c r="A69" s="30" t="n">
        <v>63</v>
      </c>
      <c r="B69" s="55">
        <f>As_Of+ROUND(A69*30.4375,0)</f>
        <v/>
      </c>
      <c r="C69" s="36">
        <f>C68+G68*Monthly_Growth*Book!$F$2</f>
        <v/>
      </c>
      <c r="D69" s="36">
        <f>D68+G68*Monthly_Growth*Book!$F$3</f>
        <v/>
      </c>
      <c r="E69" s="36">
        <f>E68+G68*Monthly_Growth*Book!$F$4</f>
        <v/>
      </c>
      <c r="F69" s="36">
        <f>F68+G68*Monthly_Growth*Book!$F$5</f>
        <v/>
      </c>
      <c r="G69" s="36">
        <f>SUM(C69:F69)</f>
        <v/>
      </c>
      <c r="H69" s="36">
        <f>G69*Growth_Rate</f>
        <v/>
      </c>
      <c r="I69" s="36">
        <f>(SUMPRODUCT(C69:F69,Engine!$B$41:$E$41)+H69*(Engine!$B$42*Book!$F$2+Engine!$C$42*Book!$F$3+Engine!$D$42*Book!$F$4+Engine!$E$42*Book!$F$5))/60*(1+Switching_Uplift)+Engine!$B$23</f>
        <v/>
      </c>
      <c r="J69" s="36">
        <f>Engine!$B$25</f>
        <v/>
      </c>
      <c r="K69" s="33">
        <f>IFERROR(I69/J69,0)</f>
        <v/>
      </c>
      <c r="L69" s="30">
        <f>IF(I69&gt;=J69,1,0)</f>
        <v/>
      </c>
      <c r="M69" s="30">
        <f>IF(I69&gt;=C1_Internal_Avail,1,0)</f>
        <v/>
      </c>
    </row>
    <row r="70">
      <c r="A70" s="30" t="n">
        <v>64</v>
      </c>
      <c r="B70" s="55">
        <f>As_Of+ROUND(A70*30.4375,0)</f>
        <v/>
      </c>
      <c r="C70" s="36">
        <f>C69+G69*Monthly_Growth*Book!$F$2</f>
        <v/>
      </c>
      <c r="D70" s="36">
        <f>D69+G69*Monthly_Growth*Book!$F$3</f>
        <v/>
      </c>
      <c r="E70" s="36">
        <f>E69+G69*Monthly_Growth*Book!$F$4</f>
        <v/>
      </c>
      <c r="F70" s="36">
        <f>F69+G69*Monthly_Growth*Book!$F$5</f>
        <v/>
      </c>
      <c r="G70" s="36">
        <f>SUM(C70:F70)</f>
        <v/>
      </c>
      <c r="H70" s="36">
        <f>G70*Growth_Rate</f>
        <v/>
      </c>
      <c r="I70" s="36">
        <f>(SUMPRODUCT(C70:F70,Engine!$B$41:$E$41)+H70*(Engine!$B$42*Book!$F$2+Engine!$C$42*Book!$F$3+Engine!$D$42*Book!$F$4+Engine!$E$42*Book!$F$5))/60*(1+Switching_Uplift)+Engine!$B$23</f>
        <v/>
      </c>
      <c r="J70" s="36">
        <f>Engine!$B$25</f>
        <v/>
      </c>
      <c r="K70" s="33">
        <f>IFERROR(I70/J70,0)</f>
        <v/>
      </c>
      <c r="L70" s="30">
        <f>IF(I70&gt;=J70,1,0)</f>
        <v/>
      </c>
      <c r="M70" s="30">
        <f>IF(I70&gt;=C1_Internal_Avail,1,0)</f>
        <v/>
      </c>
    </row>
    <row r="71">
      <c r="A71" s="30" t="n">
        <v>65</v>
      </c>
      <c r="B71" s="55">
        <f>As_Of+ROUND(A71*30.4375,0)</f>
        <v/>
      </c>
      <c r="C71" s="36">
        <f>C70+G70*Monthly_Growth*Book!$F$2</f>
        <v/>
      </c>
      <c r="D71" s="36">
        <f>D70+G70*Monthly_Growth*Book!$F$3</f>
        <v/>
      </c>
      <c r="E71" s="36">
        <f>E70+G70*Monthly_Growth*Book!$F$4</f>
        <v/>
      </c>
      <c r="F71" s="36">
        <f>F70+G70*Monthly_Growth*Book!$F$5</f>
        <v/>
      </c>
      <c r="G71" s="36">
        <f>SUM(C71:F71)</f>
        <v/>
      </c>
      <c r="H71" s="36">
        <f>G71*Growth_Rate</f>
        <v/>
      </c>
      <c r="I71" s="36">
        <f>(SUMPRODUCT(C71:F71,Engine!$B$41:$E$41)+H71*(Engine!$B$42*Book!$F$2+Engine!$C$42*Book!$F$3+Engine!$D$42*Book!$F$4+Engine!$E$42*Book!$F$5))/60*(1+Switching_Uplift)+Engine!$B$23</f>
        <v/>
      </c>
      <c r="J71" s="36">
        <f>Engine!$B$25</f>
        <v/>
      </c>
      <c r="K71" s="33">
        <f>IFERROR(I71/J71,0)</f>
        <v/>
      </c>
      <c r="L71" s="30">
        <f>IF(I71&gt;=J71,1,0)</f>
        <v/>
      </c>
      <c r="M71" s="30">
        <f>IF(I71&gt;=C1_Internal_Avail,1,0)</f>
        <v/>
      </c>
    </row>
    <row r="72">
      <c r="A72" s="30" t="n">
        <v>66</v>
      </c>
      <c r="B72" s="55">
        <f>As_Of+ROUND(A72*30.4375,0)</f>
        <v/>
      </c>
      <c r="C72" s="36">
        <f>C71+G71*Monthly_Growth*Book!$F$2</f>
        <v/>
      </c>
      <c r="D72" s="36">
        <f>D71+G71*Monthly_Growth*Book!$F$3</f>
        <v/>
      </c>
      <c r="E72" s="36">
        <f>E71+G71*Monthly_Growth*Book!$F$4</f>
        <v/>
      </c>
      <c r="F72" s="36">
        <f>F71+G71*Monthly_Growth*Book!$F$5</f>
        <v/>
      </c>
      <c r="G72" s="36">
        <f>SUM(C72:F72)</f>
        <v/>
      </c>
      <c r="H72" s="36">
        <f>G72*Growth_Rate</f>
        <v/>
      </c>
      <c r="I72" s="36">
        <f>(SUMPRODUCT(C72:F72,Engine!$B$41:$E$41)+H72*(Engine!$B$42*Book!$F$2+Engine!$C$42*Book!$F$3+Engine!$D$42*Book!$F$4+Engine!$E$42*Book!$F$5))/60*(1+Switching_Uplift)+Engine!$B$23</f>
        <v/>
      </c>
      <c r="J72" s="36">
        <f>Engine!$B$25</f>
        <v/>
      </c>
      <c r="K72" s="33">
        <f>IFERROR(I72/J72,0)</f>
        <v/>
      </c>
      <c r="L72" s="30">
        <f>IF(I72&gt;=J72,1,0)</f>
        <v/>
      </c>
      <c r="M72" s="30">
        <f>IF(I72&gt;=C1_Internal_Avail,1,0)</f>
        <v/>
      </c>
    </row>
    <row r="73">
      <c r="A73" s="30" t="n">
        <v>67</v>
      </c>
      <c r="B73" s="55">
        <f>As_Of+ROUND(A73*30.4375,0)</f>
        <v/>
      </c>
      <c r="C73" s="36">
        <f>C72+G72*Monthly_Growth*Book!$F$2</f>
        <v/>
      </c>
      <c r="D73" s="36">
        <f>D72+G72*Monthly_Growth*Book!$F$3</f>
        <v/>
      </c>
      <c r="E73" s="36">
        <f>E72+G72*Monthly_Growth*Book!$F$4</f>
        <v/>
      </c>
      <c r="F73" s="36">
        <f>F72+G72*Monthly_Growth*Book!$F$5</f>
        <v/>
      </c>
      <c r="G73" s="36">
        <f>SUM(C73:F73)</f>
        <v/>
      </c>
      <c r="H73" s="36">
        <f>G73*Growth_Rate</f>
        <v/>
      </c>
      <c r="I73" s="36">
        <f>(SUMPRODUCT(C73:F73,Engine!$B$41:$E$41)+H73*(Engine!$B$42*Book!$F$2+Engine!$C$42*Book!$F$3+Engine!$D$42*Book!$F$4+Engine!$E$42*Book!$F$5))/60*(1+Switching_Uplift)+Engine!$B$23</f>
        <v/>
      </c>
      <c r="J73" s="36">
        <f>Engine!$B$25</f>
        <v/>
      </c>
      <c r="K73" s="33">
        <f>IFERROR(I73/J73,0)</f>
        <v/>
      </c>
      <c r="L73" s="30">
        <f>IF(I73&gt;=J73,1,0)</f>
        <v/>
      </c>
      <c r="M73" s="30">
        <f>IF(I73&gt;=C1_Internal_Avail,1,0)</f>
        <v/>
      </c>
    </row>
    <row r="74">
      <c r="A74" s="30" t="n">
        <v>68</v>
      </c>
      <c r="B74" s="55">
        <f>As_Of+ROUND(A74*30.4375,0)</f>
        <v/>
      </c>
      <c r="C74" s="36">
        <f>C73+G73*Monthly_Growth*Book!$F$2</f>
        <v/>
      </c>
      <c r="D74" s="36">
        <f>D73+G73*Monthly_Growth*Book!$F$3</f>
        <v/>
      </c>
      <c r="E74" s="36">
        <f>E73+G73*Monthly_Growth*Book!$F$4</f>
        <v/>
      </c>
      <c r="F74" s="36">
        <f>F73+G73*Monthly_Growth*Book!$F$5</f>
        <v/>
      </c>
      <c r="G74" s="36">
        <f>SUM(C74:F74)</f>
        <v/>
      </c>
      <c r="H74" s="36">
        <f>G74*Growth_Rate</f>
        <v/>
      </c>
      <c r="I74" s="36">
        <f>(SUMPRODUCT(C74:F74,Engine!$B$41:$E$41)+H74*(Engine!$B$42*Book!$F$2+Engine!$C$42*Book!$F$3+Engine!$D$42*Book!$F$4+Engine!$E$42*Book!$F$5))/60*(1+Switching_Uplift)+Engine!$B$23</f>
        <v/>
      </c>
      <c r="J74" s="36">
        <f>Engine!$B$25</f>
        <v/>
      </c>
      <c r="K74" s="33">
        <f>IFERROR(I74/J74,0)</f>
        <v/>
      </c>
      <c r="L74" s="30">
        <f>IF(I74&gt;=J74,1,0)</f>
        <v/>
      </c>
      <c r="M74" s="30">
        <f>IF(I74&gt;=C1_Internal_Avail,1,0)</f>
        <v/>
      </c>
    </row>
    <row r="75">
      <c r="A75" s="30" t="n">
        <v>69</v>
      </c>
      <c r="B75" s="55">
        <f>As_Of+ROUND(A75*30.4375,0)</f>
        <v/>
      </c>
      <c r="C75" s="36">
        <f>C74+G74*Monthly_Growth*Book!$F$2</f>
        <v/>
      </c>
      <c r="D75" s="36">
        <f>D74+G74*Monthly_Growth*Book!$F$3</f>
        <v/>
      </c>
      <c r="E75" s="36">
        <f>E74+G74*Monthly_Growth*Book!$F$4</f>
        <v/>
      </c>
      <c r="F75" s="36">
        <f>F74+G74*Monthly_Growth*Book!$F$5</f>
        <v/>
      </c>
      <c r="G75" s="36">
        <f>SUM(C75:F75)</f>
        <v/>
      </c>
      <c r="H75" s="36">
        <f>G75*Growth_Rate</f>
        <v/>
      </c>
      <c r="I75" s="36">
        <f>(SUMPRODUCT(C75:F75,Engine!$B$41:$E$41)+H75*(Engine!$B$42*Book!$F$2+Engine!$C$42*Book!$F$3+Engine!$D$42*Book!$F$4+Engine!$E$42*Book!$F$5))/60*(1+Switching_Uplift)+Engine!$B$23</f>
        <v/>
      </c>
      <c r="J75" s="36">
        <f>Engine!$B$25</f>
        <v/>
      </c>
      <c r="K75" s="33">
        <f>IFERROR(I75/J75,0)</f>
        <v/>
      </c>
      <c r="L75" s="30">
        <f>IF(I75&gt;=J75,1,0)</f>
        <v/>
      </c>
      <c r="M75" s="30">
        <f>IF(I75&gt;=C1_Internal_Avail,1,0)</f>
        <v/>
      </c>
    </row>
    <row r="76">
      <c r="A76" s="30" t="n">
        <v>70</v>
      </c>
      <c r="B76" s="55">
        <f>As_Of+ROUND(A76*30.4375,0)</f>
        <v/>
      </c>
      <c r="C76" s="36">
        <f>C75+G75*Monthly_Growth*Book!$F$2</f>
        <v/>
      </c>
      <c r="D76" s="36">
        <f>D75+G75*Monthly_Growth*Book!$F$3</f>
        <v/>
      </c>
      <c r="E76" s="36">
        <f>E75+G75*Monthly_Growth*Book!$F$4</f>
        <v/>
      </c>
      <c r="F76" s="36">
        <f>F75+G75*Monthly_Growth*Book!$F$5</f>
        <v/>
      </c>
      <c r="G76" s="36">
        <f>SUM(C76:F76)</f>
        <v/>
      </c>
      <c r="H76" s="36">
        <f>G76*Growth_Rate</f>
        <v/>
      </c>
      <c r="I76" s="36">
        <f>(SUMPRODUCT(C76:F76,Engine!$B$41:$E$41)+H76*(Engine!$B$42*Book!$F$2+Engine!$C$42*Book!$F$3+Engine!$D$42*Book!$F$4+Engine!$E$42*Book!$F$5))/60*(1+Switching_Uplift)+Engine!$B$23</f>
        <v/>
      </c>
      <c r="J76" s="36">
        <f>Engine!$B$25</f>
        <v/>
      </c>
      <c r="K76" s="33">
        <f>IFERROR(I76/J76,0)</f>
        <v/>
      </c>
      <c r="L76" s="30">
        <f>IF(I76&gt;=J76,1,0)</f>
        <v/>
      </c>
      <c r="M76" s="30">
        <f>IF(I76&gt;=C1_Internal_Avail,1,0)</f>
        <v/>
      </c>
    </row>
    <row r="77">
      <c r="A77" s="30" t="n">
        <v>71</v>
      </c>
      <c r="B77" s="55">
        <f>As_Of+ROUND(A77*30.4375,0)</f>
        <v/>
      </c>
      <c r="C77" s="36">
        <f>C76+G76*Monthly_Growth*Book!$F$2</f>
        <v/>
      </c>
      <c r="D77" s="36">
        <f>D76+G76*Monthly_Growth*Book!$F$3</f>
        <v/>
      </c>
      <c r="E77" s="36">
        <f>E76+G76*Monthly_Growth*Book!$F$4</f>
        <v/>
      </c>
      <c r="F77" s="36">
        <f>F76+G76*Monthly_Growth*Book!$F$5</f>
        <v/>
      </c>
      <c r="G77" s="36">
        <f>SUM(C77:F77)</f>
        <v/>
      </c>
      <c r="H77" s="36">
        <f>G77*Growth_Rate</f>
        <v/>
      </c>
      <c r="I77" s="36">
        <f>(SUMPRODUCT(C77:F77,Engine!$B$41:$E$41)+H77*(Engine!$B$42*Book!$F$2+Engine!$C$42*Book!$F$3+Engine!$D$42*Book!$F$4+Engine!$E$42*Book!$F$5))/60*(1+Switching_Uplift)+Engine!$B$23</f>
        <v/>
      </c>
      <c r="J77" s="36">
        <f>Engine!$B$25</f>
        <v/>
      </c>
      <c r="K77" s="33">
        <f>IFERROR(I77/J77,0)</f>
        <v/>
      </c>
      <c r="L77" s="30">
        <f>IF(I77&gt;=J77,1,0)</f>
        <v/>
      </c>
      <c r="M77" s="30">
        <f>IF(I77&gt;=C1_Internal_Avail,1,0)</f>
        <v/>
      </c>
    </row>
    <row r="78">
      <c r="A78" s="30" t="n">
        <v>72</v>
      </c>
      <c r="B78" s="55">
        <f>As_Of+ROUND(A78*30.4375,0)</f>
        <v/>
      </c>
      <c r="C78" s="36">
        <f>C77+G77*Monthly_Growth*Book!$F$2</f>
        <v/>
      </c>
      <c r="D78" s="36">
        <f>D77+G77*Monthly_Growth*Book!$F$3</f>
        <v/>
      </c>
      <c r="E78" s="36">
        <f>E77+G77*Monthly_Growth*Book!$F$4</f>
        <v/>
      </c>
      <c r="F78" s="36">
        <f>F77+G77*Monthly_Growth*Book!$F$5</f>
        <v/>
      </c>
      <c r="G78" s="36">
        <f>SUM(C78:F78)</f>
        <v/>
      </c>
      <c r="H78" s="36">
        <f>G78*Growth_Rate</f>
        <v/>
      </c>
      <c r="I78" s="36">
        <f>(SUMPRODUCT(C78:F78,Engine!$B$41:$E$41)+H78*(Engine!$B$42*Book!$F$2+Engine!$C$42*Book!$F$3+Engine!$D$42*Book!$F$4+Engine!$E$42*Book!$F$5))/60*(1+Switching_Uplift)+Engine!$B$23</f>
        <v/>
      </c>
      <c r="J78" s="36">
        <f>Engine!$B$25</f>
        <v/>
      </c>
      <c r="K78" s="33">
        <f>IFERROR(I78/J78,0)</f>
        <v/>
      </c>
      <c r="L78" s="30">
        <f>IF(I78&gt;=J78,1,0)</f>
        <v/>
      </c>
      <c r="M78" s="30">
        <f>IF(I78&gt;=C1_Internal_Avail,1,0)</f>
        <v/>
      </c>
    </row>
    <row r="80">
      <c r="A80" s="3" t="inlineStr">
        <is>
          <t>THE CROSSING</t>
        </is>
      </c>
    </row>
    <row r="81">
      <c r="A81" s="19" t="inlineStr">
        <is>
          <t>First month at or over capacity (position in the table)</t>
        </is>
      </c>
      <c r="B81" s="53" t="n"/>
      <c r="C81" s="53" t="n"/>
      <c r="D81" s="54" t="n"/>
      <c r="E81" s="30">
        <f>IFERROR(MATCH(1,Proj_Flag,0),0)</f>
        <v/>
      </c>
    </row>
    <row r="82">
      <c r="A82" s="19" t="inlineStr">
        <is>
          <t>Crossing, in months from today</t>
        </is>
      </c>
      <c r="B82" s="53" t="n"/>
      <c r="C82" s="53" t="n"/>
      <c r="D82" s="54" t="n"/>
      <c r="E82" s="48">
        <f>IF(E81=0,"",IF(E81=1,0,(E81-2)+(Engine!$B$25-INDEX(Proj_Req,E81-1))/(INDEX(Proj_Req,E81)-INDEX(Proj_Req,E81-1))))</f>
        <v/>
      </c>
    </row>
    <row r="83">
      <c r="A83" s="19" t="inlineStr">
        <is>
          <t>Households at the crossing</t>
        </is>
      </c>
      <c r="B83" s="53" t="n"/>
      <c r="C83" s="53" t="n"/>
      <c r="D83" s="54" t="n"/>
      <c r="E83" s="36">
        <f>IF(E81=0,"",IF(E81=1,INDEX(Proj_HH,1),INDEX(Proj_HH,E81-1)+(E82-(E81-2))*(INDEX(Proj_HH,E81)-INDEX(Proj_HH,E81-1))))</f>
        <v/>
      </c>
    </row>
    <row r="84">
      <c r="A84" s="19" t="inlineStr">
        <is>
          <t>Which is around</t>
        </is>
      </c>
      <c r="B84" s="53" t="n"/>
      <c r="C84" s="53" t="n"/>
      <c r="D84" s="54" t="n"/>
      <c r="E84" s="49">
        <f>IF(E81=0,"",As_Of+ROUND(E82*30.4375,0))</f>
        <v/>
      </c>
    </row>
    <row r="85">
      <c r="A85" s="19" t="inlineStr">
        <is>
          <t>Utilisation today</t>
        </is>
      </c>
      <c r="B85" s="53" t="n"/>
      <c r="C85" s="53" t="n"/>
      <c r="D85" s="54" t="n"/>
      <c r="E85" s="33">
        <f>Engine!B26</f>
        <v/>
      </c>
    </row>
    <row r="87">
      <c r="A87" s="56" t="inlineStr">
        <is>
          <t>SENSITIVITY OF THE DATE — change Growth_Rate on Assumptions and watch these three move together.</t>
        </is>
      </c>
    </row>
    <row r="88">
      <c r="A88" s="19" t="inlineStr">
        <is>
          <t>Closed form at today's tier mix (hand-checkable)</t>
        </is>
      </c>
      <c r="B88" s="53" t="n"/>
      <c r="C88" s="53" t="n"/>
      <c r="D88" s="54" t="n"/>
      <c r="E88" s="36">
        <f>Engine!B58</f>
        <v/>
      </c>
      <c r="G88" s="13" t="inlineStr">
        <is>
          <t>Higher than the projection above, because the projection sends most new households into the larger tiers, which cost more hours each.</t>
        </is>
      </c>
    </row>
    <row r="89">
      <c r="A89" s="3" t="inlineStr">
        <is>
          <t>THE SENTENCE THIS ENDS ON</t>
        </is>
      </c>
    </row>
    <row r="90" ht="28" customHeight="1">
      <c r="A90" s="52">
        <f>IF(E81=0,"At this growth rate operations does not run out of capacity inside the horizon.","At "&amp;TEXT(Growth_Rate,"0%")&amp;" growth, operations runs out of capacity at "&amp;TEXT(E83,"#,##0")&amp;" households, around "&amp;TEXT(E84,"mmmm yyyy")&amp;" — "&amp;TEXT(E82,"#,##0")&amp;" months from now.")</f>
        <v/>
      </c>
      <c r="B90" s="53" t="n"/>
      <c r="C90" s="53" t="n"/>
      <c r="D90" s="53" t="n"/>
      <c r="E90" s="53" t="n"/>
      <c r="F90" s="53" t="n"/>
      <c r="G90" s="53" t="n"/>
      <c r="H90" s="53" t="n"/>
      <c r="I90" s="54" t="n"/>
    </row>
  </sheetData>
  <mergeCells count="7">
    <mergeCell ref="A90:I90"/>
    <mergeCell ref="A88:D88"/>
    <mergeCell ref="A83:D83"/>
    <mergeCell ref="A82:D82"/>
    <mergeCell ref="A81:D81"/>
    <mergeCell ref="A85:D85"/>
    <mergeCell ref="A84:D84"/>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25"/>
  <sheetViews>
    <sheetView showGridLines="0" workbookViewId="0">
      <pane xSplit="1" ySplit="5" topLeftCell="B6" activePane="bottomRight" state="frozen"/>
      <selection pane="topRight"/>
      <selection pane="bottomLeft"/>
      <selection pane="bottomRight" activeCell="A1" sqref="A1"/>
    </sheetView>
  </sheetViews>
  <sheetFormatPr baseColWidth="8" defaultRowHeight="15"/>
  <cols>
    <col width="46" customWidth="1" min="1" max="1"/>
    <col width="15" customWidth="1" min="2" max="2"/>
    <col width="15" customWidth="1" min="3" max="3"/>
    <col width="15" customWidth="1" min="4" max="4"/>
    <col width="15" customWidth="1" min="5" max="5"/>
    <col width="15" customWidth="1" min="6" max="6"/>
    <col width="58" customWidth="1" min="7" max="7"/>
  </cols>
  <sheetData>
    <row r="1">
      <c r="A1" s="1" t="inlineStr">
        <is>
          <t>CASE 3 — WHAT EACH CLIENT TIER COSTS TO SERVE</t>
        </is>
      </c>
    </row>
    <row r="2">
      <c r="A2" s="2" t="inlineStr">
        <is>
          <t>Presented as a question. This is not a finding about any client, and it is not a recommendation.</t>
        </is>
      </c>
    </row>
    <row r="3" ht="30" customHeight="1">
      <c r="A3" s="23" t="inlineStr">
        <is>
          <t>WARNING</t>
        </is>
      </c>
      <c r="B3" s="57">
        <f>"The largest layer below is non-payroll firm overhead at "&amp;TEXT(Firm_Overhead_PH,"$#,##0")&amp;" per household. That number is a PLACEHOLDER — it was invented so the model would run. It decides on its own whether the bottom tier looks profitable. Get the real figure before presenting this tab."</f>
        <v/>
      </c>
      <c r="C3" s="53" t="n"/>
      <c r="D3" s="53" t="n"/>
      <c r="E3" s="53" t="n"/>
      <c r="F3" s="53" t="n"/>
      <c r="G3" s="54" t="n"/>
    </row>
    <row r="5">
      <c r="A5" s="6" t="inlineStr">
        <is>
          <t>Per household per year</t>
        </is>
      </c>
      <c r="B5" s="6" t="inlineStr">
        <is>
          <t>T1</t>
        </is>
      </c>
      <c r="C5" s="6" t="inlineStr">
        <is>
          <t>T2</t>
        </is>
      </c>
      <c r="D5" s="6" t="inlineStr">
        <is>
          <t>T3</t>
        </is>
      </c>
      <c r="E5" s="6" t="inlineStr">
        <is>
          <t>T4</t>
        </is>
      </c>
      <c r="F5" s="6" t="inlineStr">
        <is>
          <t>Whole book</t>
        </is>
      </c>
      <c r="G5" s="6" t="inlineStr">
        <is>
          <t>Note</t>
        </is>
      </c>
    </row>
    <row r="6">
      <c r="A6" s="19" t="inlineStr">
        <is>
          <t>Households</t>
        </is>
      </c>
      <c r="B6" s="30">
        <f>Book!C2</f>
        <v/>
      </c>
      <c r="C6" s="30">
        <f>Book!C3</f>
        <v/>
      </c>
      <c r="D6" s="30">
        <f>Book!C4</f>
        <v/>
      </c>
      <c r="E6" s="30">
        <f>Book!C5</f>
        <v/>
      </c>
      <c r="F6" s="58">
        <f>Total_HH</f>
        <v/>
      </c>
    </row>
    <row r="7">
      <c r="A7" s="19" t="inlineStr">
        <is>
          <t>Average AUM</t>
        </is>
      </c>
      <c r="B7" s="34">
        <f>Book!D2</f>
        <v/>
      </c>
      <c r="C7" s="34">
        <f>Book!D3</f>
        <v/>
      </c>
      <c r="D7" s="34">
        <f>Book!D4</f>
        <v/>
      </c>
      <c r="E7" s="34">
        <f>Book!D5</f>
        <v/>
      </c>
      <c r="F7" s="59">
        <f>IFERROR(AUM_Total/Total_HH,0)</f>
        <v/>
      </c>
    </row>
    <row r="8">
      <c r="A8" s="19" t="inlineStr">
        <is>
          <t>Revenue per household</t>
        </is>
      </c>
      <c r="B8" s="34">
        <f>Engine!B50</f>
        <v/>
      </c>
      <c r="C8" s="34">
        <f>Engine!C50</f>
        <v/>
      </c>
      <c r="D8" s="34">
        <f>Engine!D50</f>
        <v/>
      </c>
      <c r="E8" s="34">
        <f>Engine!E50</f>
        <v/>
      </c>
      <c r="F8" s="34">
        <f>IFERROR((B8*Book!C2+C8*Book!C3+D8*Book!C4+E8*Book!C5)/Total_HH,0)</f>
        <v/>
      </c>
      <c r="G8" s="13" t="inlineStr">
        <is>
          <t>At the tiered schedule, after fee realisation.</t>
        </is>
      </c>
    </row>
    <row r="9">
      <c r="A9" s="19" t="inlineStr">
        <is>
          <t>Direct operations hours</t>
        </is>
      </c>
      <c r="B9" s="36">
        <f>Engine!B44</f>
        <v/>
      </c>
      <c r="C9" s="36">
        <f>Engine!C44</f>
        <v/>
      </c>
      <c r="D9" s="36">
        <f>Engine!D44</f>
        <v/>
      </c>
      <c r="E9" s="36">
        <f>Engine!E44</f>
        <v/>
      </c>
      <c r="F9" s="36">
        <f>IFERROR((B9*Book!C2+C9*Book!C3+D9*Book!C4+E9*Book!C5)/Total_HH,0)</f>
        <v/>
      </c>
      <c r="G9" s="13" t="inlineStr">
        <is>
          <t>From the task catalogue. The only layer built from timings.</t>
        </is>
      </c>
    </row>
    <row r="10">
      <c r="A10" s="19" t="inlineStr">
        <is>
          <t>Layer 1 — direct operations cost</t>
        </is>
      </c>
      <c r="B10" s="34">
        <f>Engine!B45</f>
        <v/>
      </c>
      <c r="C10" s="34">
        <f>Engine!C45</f>
        <v/>
      </c>
      <c r="D10" s="34">
        <f>Engine!D45</f>
        <v/>
      </c>
      <c r="E10" s="34">
        <f>Engine!E45</f>
        <v/>
      </c>
      <c r="F10" s="34">
        <f>IFERROR((B10*Book!C2+C10*Book!C3+D10*Book!C4+E10*Book!C5)/Total_HH,0)</f>
        <v/>
      </c>
    </row>
    <row r="11">
      <c r="A11" s="19" t="inlineStr">
        <is>
          <t>Layer 2 — share of firm-level operations</t>
        </is>
      </c>
      <c r="B11" s="34">
        <f>Engine!B46</f>
        <v/>
      </c>
      <c r="C11" s="34">
        <f>Engine!C46</f>
        <v/>
      </c>
      <c r="D11" s="34">
        <f>Engine!D46</f>
        <v/>
      </c>
      <c r="E11" s="34">
        <f>Engine!E46</f>
        <v/>
      </c>
      <c r="F11" s="34">
        <f>IFERROR((B11*Book!C2+C11*Book!C3+D11*Book!C4+E11*Book!C5)/Total_HH,0)</f>
        <v/>
      </c>
      <c r="G11" s="13" t="inlineStr">
        <is>
          <t>Firm-level operations hours spread evenly.</t>
        </is>
      </c>
    </row>
    <row r="12">
      <c r="A12" s="19" t="inlineStr">
        <is>
          <t>Layer 3 — advisor time</t>
        </is>
      </c>
      <c r="B12" s="34">
        <f>Engine!B47</f>
        <v/>
      </c>
      <c r="C12" s="34">
        <f>Engine!C47</f>
        <v/>
      </c>
      <c r="D12" s="34">
        <f>Engine!D47</f>
        <v/>
      </c>
      <c r="E12" s="34">
        <f>Engine!E47</f>
        <v/>
      </c>
      <c r="F12" s="34">
        <f>IFERROR((B12*Book!C2+C12*Book!C3+D12*Book!C4+E12*Book!C5)/Total_HH,0)</f>
        <v/>
      </c>
      <c r="G12" s="13" t="inlineStr">
        <is>
          <t>Advisory work at what an advisor hour costs.</t>
        </is>
      </c>
    </row>
    <row r="13">
      <c r="A13" s="19" t="inlineStr">
        <is>
          <t>Layer 4 — non-payroll firm overhead</t>
        </is>
      </c>
      <c r="B13" s="34">
        <f>Engine!B48</f>
        <v/>
      </c>
      <c r="C13" s="34">
        <f>Engine!C48</f>
        <v/>
      </c>
      <c r="D13" s="34">
        <f>Engine!D48</f>
        <v/>
      </c>
      <c r="E13" s="34">
        <f>Engine!E48</f>
        <v/>
      </c>
      <c r="F13" s="34">
        <f>IFERROR((B13*Book!C2+C13*Book!C3+D13*Book!C4+E13*Book!C5)/Total_HH,0)</f>
        <v/>
      </c>
      <c r="G13" s="13" t="inlineStr">
        <is>
          <t>PLACEHOLDER. This is the layer that decides the answer.</t>
        </is>
      </c>
    </row>
    <row r="14">
      <c r="A14" s="52" t="inlineStr">
        <is>
          <t>Fully loaded cost to serve</t>
        </is>
      </c>
      <c r="B14" s="41">
        <f>Engine!B49</f>
        <v/>
      </c>
      <c r="C14" s="41">
        <f>Engine!C49</f>
        <v/>
      </c>
      <c r="D14" s="41">
        <f>Engine!D49</f>
        <v/>
      </c>
      <c r="E14" s="41">
        <f>Engine!E49</f>
        <v/>
      </c>
      <c r="F14" s="41">
        <f>IFERROR((B14*Book!C2+C14*Book!C3+D14*Book!C4+E14*Book!C5)/Total_HH,0)</f>
        <v/>
      </c>
    </row>
    <row r="15">
      <c r="A15" s="52" t="inlineStr">
        <is>
          <t>Margin, fully loaded</t>
        </is>
      </c>
      <c r="B15" s="41">
        <f>Engine!B51</f>
        <v/>
      </c>
      <c r="C15" s="41">
        <f>Engine!C51</f>
        <v/>
      </c>
      <c r="D15" s="41">
        <f>Engine!D51</f>
        <v/>
      </c>
      <c r="E15" s="41">
        <f>Engine!E51</f>
        <v/>
      </c>
      <c r="F15" s="41">
        <f>IFERROR((B15*Book!C2+C15*Book!C3+D15*Book!C4+E15*Book!C5)/Total_HH,0)</f>
        <v/>
      </c>
    </row>
    <row r="16">
      <c r="A16" s="19" t="inlineStr">
        <is>
          <t>Margin on direct operations cost alone</t>
        </is>
      </c>
      <c r="B16" s="34">
        <f>Engine!B52</f>
        <v/>
      </c>
      <c r="C16" s="34">
        <f>Engine!C52</f>
        <v/>
      </c>
      <c r="D16" s="34">
        <f>Engine!D52</f>
        <v/>
      </c>
      <c r="E16" s="34">
        <f>Engine!E52</f>
        <v/>
      </c>
      <c r="F16" s="34">
        <f>IFERROR((B16*Book!C2+C16*Book!C3+D16*Book!C4+E16*Book!C5)/Total_HH,0)</f>
        <v/>
      </c>
      <c r="G16" s="13" t="inlineStr">
        <is>
          <t>Positive here and negative above means the gap is created by overhead and advisor time, not by operations.</t>
        </is>
      </c>
    </row>
    <row r="17">
      <c r="A17" s="19" t="inlineStr">
        <is>
          <t>Onboarding cost per new household (one-off)</t>
        </is>
      </c>
      <c r="B17" s="34">
        <f>Engine!B53</f>
        <v/>
      </c>
      <c r="C17" s="34">
        <f>Engine!C53</f>
        <v/>
      </c>
      <c r="D17" s="34">
        <f>Engine!D53</f>
        <v/>
      </c>
      <c r="E17" s="34">
        <f>Engine!E53</f>
        <v/>
      </c>
      <c r="F17" s="34">
        <f>IFERROR((B17*Book!C2+C17*Book!C3+D17*Book!C4+E17*Book!C5)/Total_HH,0)</f>
        <v/>
      </c>
      <c r="G17" s="13" t="inlineStr">
        <is>
          <t>Deliberately excluded from cost to serve. Smearing it across the settled book would overstate every tier.</t>
        </is>
      </c>
    </row>
    <row r="19">
      <c r="A19" s="3" t="inlineStr">
        <is>
          <t>THE THREE VERSIONS OF THIS DECISION — laid out flat on purpose. The model has no view on which is right.</t>
        </is>
      </c>
    </row>
    <row r="20" ht="30" customHeight="1">
      <c r="A20" s="52" t="inlineStr">
        <is>
          <t>1. Raise the minimum</t>
        </is>
      </c>
      <c r="B20" s="13" t="inlineStr">
        <is>
          <t>Stop taking households below a threshold. Protects capacity and margin. Costs the firm its pipeline: a small household today is sometimes a large one in ten years, and referrals come from families, not balances.</t>
        </is>
      </c>
      <c r="C20" s="53" t="n"/>
      <c r="D20" s="53" t="n"/>
      <c r="E20" s="53" t="n"/>
      <c r="F20" s="53" t="n"/>
      <c r="G20" s="54" t="n"/>
    </row>
    <row r="21" ht="30" customHeight="1">
      <c r="A21" s="52" t="inlineStr">
        <is>
          <t>2. Serve that tier differently</t>
        </is>
      </c>
      <c r="B21" s="13" t="inlineStr">
        <is>
          <t>Keep them, change the service model: fewer scheduled meetings, group or digital review, a defined service tier. Cuts the operations hours each household takes. Costs consistency, and someone has to tell them.</t>
        </is>
      </c>
      <c r="C21" s="53" t="n"/>
      <c r="D21" s="53" t="n"/>
      <c r="E21" s="53" t="n"/>
      <c r="F21" s="53" t="n"/>
      <c r="G21" s="54" t="n"/>
    </row>
    <row r="22" ht="30" customHeight="1">
      <c r="A22" s="52" t="inlineStr">
        <is>
          <t>3. Accept it as a pipeline cost</t>
        </is>
      </c>
      <c r="B22" s="13" t="inlineStr">
        <is>
          <t>Decide the shortfall is what the firm pays for relationships, referrals and the next generation. Perfectly defensible — but it should be a decision somebody made, not an accident of never having counted.</t>
        </is>
      </c>
      <c r="C22" s="53" t="n"/>
      <c r="D22" s="53" t="n"/>
      <c r="E22" s="53" t="n"/>
      <c r="F22" s="53" t="n"/>
      <c r="G22" s="54" t="n"/>
    </row>
    <row r="24">
      <c r="A24" s="3" t="inlineStr">
        <is>
          <t>THE SENTENCE THIS ENDS ON</t>
        </is>
      </c>
    </row>
    <row r="25" ht="28" customHeight="1">
      <c r="A25" s="52">
        <f>"The bottom tier costs roughly "&amp;TEXT(B14,"$#,##0")&amp;" a year to serve on a fully loaded basis and produces "&amp;TEXT(B8,"$#,##0")&amp;". That is a decision, not a finding, and there are three versions of it above."</f>
        <v/>
      </c>
      <c r="B25" s="53" t="n"/>
      <c r="C25" s="53" t="n"/>
      <c r="D25" s="53" t="n"/>
      <c r="E25" s="53" t="n"/>
      <c r="F25" s="53" t="n"/>
      <c r="G25" s="54" t="n"/>
    </row>
  </sheetData>
  <mergeCells count="5">
    <mergeCell ref="B3:G3"/>
    <mergeCell ref="B20:G20"/>
    <mergeCell ref="B22:G22"/>
    <mergeCell ref="A25:G25"/>
    <mergeCell ref="B21:G21"/>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F32"/>
  <sheetViews>
    <sheetView showGridLines="0" workbookViewId="0">
      <pane ySplit="15" topLeftCell="A16" activePane="bottomLeft" state="frozen"/>
      <selection pane="bottomLeft" activeCell="A1" sqref="A1"/>
    </sheetView>
  </sheetViews>
  <sheetFormatPr baseColWidth="8" defaultRowHeight="15"/>
  <cols>
    <col width="48" customWidth="1" min="1" max="1"/>
    <col width="16" customWidth="1" min="2" max="2"/>
    <col width="16" customWidth="1" min="3" max="3"/>
    <col width="16" customWidth="1" min="4" max="4"/>
    <col width="16" customWidth="1" min="5" max="5"/>
    <col width="60" customWidth="1" min="6" max="6"/>
  </cols>
  <sheetData>
    <row r="1">
      <c r="A1" s="1" t="inlineStr">
        <is>
          <t>CASE 4 — THE OPERATIONS SEAT</t>
        </is>
      </c>
    </row>
    <row r="2">
      <c r="A2" s="2" t="inlineStr">
        <is>
          <t>An operations seat does not generate revenue. It protects advisor capacity and prevents service failures. That is the whole claim.</t>
        </is>
      </c>
    </row>
    <row r="4">
      <c r="A4" s="19" t="inlineStr">
        <is>
          <t>Compensation delta for the seat</t>
        </is>
      </c>
      <c r="B4" s="34">
        <f>Ops_Seat_Comp-Roster!G5</f>
        <v/>
      </c>
    </row>
    <row r="5">
      <c r="A5" s="19" t="inlineStr">
        <is>
          <t>Cost of the seat, loaded</t>
        </is>
      </c>
      <c r="B5" s="34">
        <f>B4*(1+Benefits_Load)</f>
        <v/>
      </c>
    </row>
    <row r="7">
      <c r="A7" s="3" t="inlineStr">
        <is>
          <t>BLENDED OPERATIONS RATE AFTER SHE GOES AND I TAKE THE SEAT</t>
        </is>
      </c>
    </row>
    <row r="8">
      <c r="A8" s="6" t="inlineStr">
        <is>
          <t>Operations role after the change</t>
        </is>
      </c>
      <c r="B8" s="6" t="inlineStr">
        <is>
          <t>Hours</t>
        </is>
      </c>
      <c r="C8" s="6" t="inlineStr">
        <is>
          <t>Loaded $/hour</t>
        </is>
      </c>
      <c r="D8" s="6" t="inlineStr">
        <is>
          <t>Hours x rate</t>
        </is>
      </c>
    </row>
    <row r="9">
      <c r="A9" s="24">
        <f>Roster!B5</f>
        <v/>
      </c>
      <c r="B9" s="36">
        <f>Roster!C5*Seat_Ops_Alloc*Productive_Hours</f>
        <v/>
      </c>
      <c r="C9" s="35">
        <f>IFERROR(Ops_Seat_Comp*(1+IF(Roster!I5=1,0,Benefits_Load))/(Roster!C5*Productive_Hours),0)</f>
        <v/>
      </c>
      <c r="D9" s="34">
        <f>B9*C9</f>
        <v/>
      </c>
    </row>
    <row r="10">
      <c r="A10" s="24">
        <f>Roster!B6</f>
        <v/>
      </c>
      <c r="B10" s="36">
        <f>Roster!C6*Roster!F6*Productive_Hours</f>
        <v/>
      </c>
      <c r="C10" s="35">
        <f>IFERROR(Roster!G6*(1+IF(Roster!I6=1,0,Benefits_Load))/(Roster!C6*Productive_Hours),0)</f>
        <v/>
      </c>
      <c r="D10" s="34">
        <f>B10*C10</f>
        <v/>
      </c>
    </row>
    <row r="11">
      <c r="A11" s="24">
        <f>Roster!B7</f>
        <v/>
      </c>
      <c r="B11" s="36">
        <f>Roster!C7*Roster!F7*Productive_Hours</f>
        <v/>
      </c>
      <c r="C11" s="35">
        <f>IFERROR(Roster!G7*(1+IF(Roster!I7=1,0,Benefits_Load))/(Roster!C7*Productive_Hours),0)</f>
        <v/>
      </c>
      <c r="D11" s="34">
        <f>B11*C11</f>
        <v/>
      </c>
    </row>
    <row r="12">
      <c r="A12" s="10" t="inlineStr">
        <is>
          <t>Blended rate after the change</t>
        </is>
      </c>
      <c r="B12" s="39">
        <f>SUM(B9:B11)</f>
        <v/>
      </c>
      <c r="C12" s="60">
        <f>IFERROR(SUM(D9:D11)/SUM(B9:B11),0)</f>
        <v/>
      </c>
    </row>
    <row r="14">
      <c r="A14" s="3" t="inlineStr">
        <is>
          <t>WHAT THE SEAT PROTECTS</t>
        </is>
      </c>
    </row>
    <row r="15">
      <c r="A15" s="6" t="inlineStr">
        <is>
          <t>Component</t>
        </is>
      </c>
      <c r="B15" s="6" t="inlineStr">
        <is>
          <t>Hours</t>
        </is>
      </c>
      <c r="C15" s="6" t="inlineStr">
        <is>
          <t>Valued at</t>
        </is>
      </c>
      <c r="D15" s="6" t="inlineStr">
        <is>
          <t>Value per year</t>
        </is>
      </c>
      <c r="E15" s="6" t="inlineStr"/>
      <c r="F15" s="6" t="inlineStr">
        <is>
          <t>Note</t>
        </is>
      </c>
    </row>
    <row r="16">
      <c r="A16" s="19" t="inlineStr">
        <is>
          <t>Operations hours she leaves behind, covered in-house</t>
        </is>
      </c>
      <c r="B16" s="36">
        <f>C1_Catalogued</f>
        <v/>
      </c>
      <c r="C16" s="35">
        <f>C12</f>
        <v/>
      </c>
      <c r="D16" s="34">
        <f>B16*C16</f>
        <v/>
      </c>
    </row>
    <row r="17">
      <c r="A17" s="19" t="inlineStr">
        <is>
          <t>Operations work currently sitting on advisors, moved off</t>
        </is>
      </c>
      <c r="B17" s="36">
        <f>Engine!B36</f>
        <v/>
      </c>
      <c r="C17" s="35">
        <f>Engine!B7</f>
        <v/>
      </c>
      <c r="D17" s="34">
        <f>B17*C17</f>
        <v/>
      </c>
      <c r="F17" s="13" t="inlineStr">
        <is>
          <t>Valued at what an advisor hour COSTS, not what it earns. The larger number invites the challenge that the hour would not have been sold.</t>
        </is>
      </c>
    </row>
    <row r="18">
      <c r="A18" s="19" t="inlineStr">
        <is>
          <t>Service failures avoided</t>
        </is>
      </c>
      <c r="B18" s="30">
        <f>Failures_Avoided</f>
        <v/>
      </c>
      <c r="C18" s="34">
        <f>Failure_Cost</f>
        <v/>
      </c>
      <c r="D18" s="34">
        <f>B18*C18</f>
        <v/>
      </c>
      <c r="F18" s="13" t="inlineStr">
        <is>
          <t>Deliberately zero. No incident list, so nothing is counted. Raise it only against incidents somebody can name.</t>
        </is>
      </c>
    </row>
    <row r="19">
      <c r="A19" s="10" t="inlineStr">
        <is>
          <t>Total protected</t>
        </is>
      </c>
      <c r="D19" s="41">
        <f>SUM(D16:D18)</f>
        <v/>
      </c>
    </row>
    <row r="20">
      <c r="A20" s="7" t="inlineStr">
        <is>
          <t>Cost of the seat, loaded</t>
        </is>
      </c>
      <c r="D20" s="34">
        <f>C4_SeatCost</f>
        <v/>
      </c>
    </row>
    <row r="21">
      <c r="A21" s="10" t="inlineStr">
        <is>
          <t>Surplus</t>
        </is>
      </c>
      <c r="D21" s="41">
        <f>D19-C4_SeatCost</f>
        <v/>
      </c>
    </row>
    <row r="22">
      <c r="A22" s="10" t="inlineStr">
        <is>
          <t>Cover ratio</t>
        </is>
      </c>
      <c r="D22" s="61">
        <f>IFERROR(D19/C4_SeatCost,0)</f>
        <v/>
      </c>
    </row>
    <row r="24">
      <c r="A24" s="3" t="inlineStr">
        <is>
          <t>WHAT IT COSTS ELSEWHERE — the hole in my own proposal</t>
        </is>
      </c>
    </row>
    <row r="25">
      <c r="A25" s="19" t="inlineStr">
        <is>
          <t>Paraplanning hours displaced by the seat</t>
        </is>
      </c>
      <c r="B25" s="51">
        <f>(Seat_Ops_Alloc-Roster!F5)*Roster!C5*Productive_Hours</f>
        <v/>
      </c>
      <c r="F25" s="13" t="inlineStr">
        <is>
          <t>The seat frees this many operations hours by moving my week — and displaces exactly the same number of paraplanning hours. That work does not disappear.</t>
        </is>
      </c>
    </row>
    <row r="26">
      <c r="A26" s="19" t="inlineStr">
        <is>
          <t xml:space="preserve">  if advisors absorb it</t>
        </is>
      </c>
      <c r="B26" s="62">
        <f>B25*Engine!B7</f>
        <v/>
      </c>
      <c r="F26" s="13" t="inlineStr">
        <is>
          <t>At this cost the proposal is worse than doing nothing. This is the question to put to him.</t>
        </is>
      </c>
    </row>
    <row r="27">
      <c r="A27" s="19" t="inlineStr">
        <is>
          <t xml:space="preserve">  if a junior seat absorbs it</t>
        </is>
      </c>
      <c r="B27" s="34">
        <f>IFERROR(Para_Backfill_Comp*(1+Benefits_Load)*B25/Productive_Hours,0)</f>
        <v/>
      </c>
    </row>
    <row r="28">
      <c r="A28" s="19" t="inlineStr">
        <is>
          <t xml:space="preserve">  if the firm decides some of it stops</t>
        </is>
      </c>
      <c r="B28" s="12" t="inlineStr">
        <is>
          <t>free, but somebody has to choose</t>
        </is>
      </c>
    </row>
    <row r="29">
      <c r="A29" s="19" t="inlineStr">
        <is>
          <t>Capacity headroom the seat buys</t>
        </is>
      </c>
      <c r="B29" s="30">
        <f>IFERROR(MATCH(1,Proj_FlagSeat,0)-1,"beyond the horizon")</f>
        <v/>
      </c>
      <c r="C29" s="12" t="inlineStr">
        <is>
          <t>months</t>
        </is>
      </c>
    </row>
    <row r="31">
      <c r="A31" s="3" t="inlineStr">
        <is>
          <t>THE SENTENCE THIS ENDS ON</t>
        </is>
      </c>
    </row>
    <row r="32" ht="30" customHeight="1">
      <c r="A32" s="52">
        <f>"The seat costs "&amp;TEXT(C4_SeatCost,"$#,##0")&amp;" loaded. It has to protect "&amp;TEXT(C4_SeatCost,"$#,##0")&amp;" to pay for itself. On these numbers it protects "&amp;TEXT(D19,"$#,##0")&amp;" — but only if the "&amp;TEXT(B25,"#,##0")&amp;" hours of planning work it displaces are not simply handed back to the advisors."</f>
        <v/>
      </c>
      <c r="B32" s="53" t="n"/>
      <c r="C32" s="53" t="n"/>
      <c r="D32" s="53" t="n"/>
      <c r="E32" s="53" t="n"/>
      <c r="F32" s="54" t="n"/>
    </row>
  </sheetData>
  <mergeCells count="1">
    <mergeCell ref="A32:F32"/>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38"/>
  <sheetViews>
    <sheetView showGridLines="0" workbookViewId="0">
      <pane ySplit="34" topLeftCell="A35" activePane="bottomLeft" state="frozen"/>
      <selection pane="bottomLeft" activeCell="A1" sqref="A1"/>
    </sheetView>
  </sheetViews>
  <sheetFormatPr baseColWidth="8" defaultRowHeight="15"/>
  <cols>
    <col width="44" customWidth="1" min="1" max="1"/>
    <col width="20" customWidth="1" min="2" max="2"/>
    <col width="16" customWidth="1" min="3" max="3"/>
    <col width="16" customWidth="1" min="4" max="4"/>
    <col width="16" customWidth="1" min="5" max="5"/>
    <col width="16" customWidth="1" min="6" max="6"/>
  </cols>
  <sheetData>
    <row r="1">
      <c r="A1" s="1" t="inlineStr">
        <is>
          <t>OPERATIONS CAPACITY &amp; ECONOMICS</t>
        </is>
      </c>
    </row>
    <row r="2">
      <c r="A2" s="2">
        <f>"Working model · as of "&amp;TEXT(As_Of,"d mmmm yyyy")&amp;" · scenario: "&amp;Assumptions!C6</f>
        <v/>
      </c>
    </row>
    <row r="3">
      <c r="A3" s="63">
        <f>"Of "&amp;Ledger_Count&amp;" inputs, "&amp;Ledger_Placeholders&amp;" are still placeholders — numbers invented so the model would run. Treat any figure resting on one as a structure, not a finding."</f>
        <v/>
      </c>
    </row>
    <row r="5">
      <c r="A5" s="3" t="inlineStr">
        <is>
          <t>THE BOOK</t>
        </is>
      </c>
    </row>
    <row r="6">
      <c r="A6" s="19" t="inlineStr">
        <is>
          <t>Households</t>
        </is>
      </c>
      <c r="B6" s="29">
        <f>Total_HH</f>
        <v/>
      </c>
    </row>
    <row r="7">
      <c r="A7" s="19" t="inlineStr">
        <is>
          <t>Assets under management</t>
        </is>
      </c>
      <c r="B7" s="41">
        <f>AUM_Total</f>
        <v/>
      </c>
    </row>
    <row r="8">
      <c r="A8" s="19" t="inlineStr">
        <is>
          <t>Revenue at the fee schedule</t>
        </is>
      </c>
      <c r="B8" s="41">
        <f>Revenue_Total</f>
        <v/>
      </c>
    </row>
    <row r="9">
      <c r="A9" s="19" t="inlineStr">
        <is>
          <t>Revenue per household</t>
        </is>
      </c>
      <c r="B9" s="41">
        <f>Engine!B15</f>
        <v/>
      </c>
    </row>
    <row r="10">
      <c r="A10" s="19" t="inlineStr">
        <is>
          <t>Revenue per advisor</t>
        </is>
      </c>
      <c r="B10" s="41">
        <f>Engine!B17</f>
        <v/>
      </c>
    </row>
    <row r="11">
      <c r="A11" s="19" t="inlineStr">
        <is>
          <t>Revenue per employee</t>
        </is>
      </c>
      <c r="B11" s="41">
        <f>Engine!B18</f>
        <v/>
      </c>
    </row>
    <row r="13">
      <c r="A13" s="3" t="inlineStr">
        <is>
          <t>OPERATIONS TODAY</t>
        </is>
      </c>
    </row>
    <row r="14">
      <c r="A14" s="19" t="inlineStr">
        <is>
          <t>Hours required per year</t>
        </is>
      </c>
      <c r="B14" s="39">
        <f>Engine!B24</f>
        <v/>
      </c>
    </row>
    <row r="15">
      <c r="A15" s="19" t="inlineStr">
        <is>
          <t>Hours available per year</t>
        </is>
      </c>
      <c r="B15" s="39">
        <f>Engine!B25</f>
        <v/>
      </c>
    </row>
    <row r="16">
      <c r="A16" s="19" t="inlineStr">
        <is>
          <t>Utilisation</t>
        </is>
      </c>
      <c r="B16" s="64">
        <f>Engine!B26</f>
        <v/>
      </c>
    </row>
    <row r="17">
      <c r="A17" s="19" t="inlineStr">
        <is>
          <t>Operations work sitting on advisors</t>
        </is>
      </c>
      <c r="B17" s="39">
        <f>Engine!B36</f>
        <v/>
      </c>
    </row>
    <row r="19">
      <c r="A19" s="3" t="inlineStr">
        <is>
          <t>THE FOUR CASES</t>
        </is>
      </c>
    </row>
    <row r="20">
      <c r="A20" s="19" t="inlineStr">
        <is>
          <t>1 · Catalogued hours her departure leaves behind</t>
        </is>
      </c>
      <c r="B20" s="39">
        <f>C1_Catalogued</f>
        <v/>
      </c>
    </row>
    <row r="21">
      <c r="A21" s="19" t="inlineStr">
        <is>
          <t>1 · Hours it has not captured</t>
        </is>
      </c>
      <c r="B21" s="51">
        <f>C1_Unmapped</f>
        <v/>
      </c>
    </row>
    <row r="22">
      <c r="A22" s="19" t="inlineStr">
        <is>
          <t>1 · Utilisation if the team absorbs them</t>
        </is>
      </c>
      <c r="B22" s="64">
        <f>C1_Absorb_Util</f>
        <v/>
      </c>
    </row>
    <row r="23">
      <c r="A23" s="19" t="inlineStr">
        <is>
          <t>2 · Households at the capacity crossing</t>
        </is>
      </c>
      <c r="B23" s="39">
        <f>C2_BreakHH</f>
        <v/>
      </c>
    </row>
    <row r="24">
      <c r="A24" s="19" t="inlineStr">
        <is>
          <t>2 · Which is around</t>
        </is>
      </c>
      <c r="B24" s="65">
        <f>C2_BreakDate</f>
        <v/>
      </c>
    </row>
    <row r="25">
      <c r="A25" s="19" t="inlineStr">
        <is>
          <t>3 · Bottom tier, fully loaded cost to serve</t>
        </is>
      </c>
      <c r="B25" s="41">
        <f>Case3_CostToServe!B14</f>
        <v/>
      </c>
    </row>
    <row r="26">
      <c r="A26" s="19" t="inlineStr">
        <is>
          <t>3 · Bottom tier, revenue</t>
        </is>
      </c>
      <c r="B26" s="41">
        <f>Case3_CostToServe!B8</f>
        <v/>
      </c>
    </row>
    <row r="27">
      <c r="A27" s="19" t="inlineStr">
        <is>
          <t>3 · Bottom tier, margin</t>
        </is>
      </c>
      <c r="B27" s="62">
        <f>Case3_CostToServe!B15</f>
        <v/>
      </c>
    </row>
    <row r="28">
      <c r="A28" s="19" t="inlineStr">
        <is>
          <t>4 · Cost of the operations seat, loaded</t>
        </is>
      </c>
      <c r="B28" s="41">
        <f>C4_SeatCost</f>
        <v/>
      </c>
    </row>
    <row r="29">
      <c r="A29" s="19" t="inlineStr">
        <is>
          <t>4 · What it protects</t>
        </is>
      </c>
      <c r="B29" s="41">
        <f>Case4_Seat!D19</f>
        <v/>
      </c>
    </row>
    <row r="30">
      <c r="A30" s="19" t="inlineStr">
        <is>
          <t>4 · Surplus</t>
        </is>
      </c>
      <c r="B30" s="41">
        <f>Case4_Seat!D21</f>
        <v/>
      </c>
    </row>
    <row r="33">
      <c r="A33" s="3" t="inlineStr">
        <is>
          <t>TIER ECONOMICS (chart source)</t>
        </is>
      </c>
    </row>
    <row r="34">
      <c r="A34" s="6" t="inlineStr">
        <is>
          <t>Tier</t>
        </is>
      </c>
      <c r="B34" s="6" t="inlineStr">
        <is>
          <t>Revenue per household</t>
        </is>
      </c>
      <c r="C34" s="6" t="inlineStr">
        <is>
          <t>Fully loaded cost to serve</t>
        </is>
      </c>
    </row>
    <row r="35">
      <c r="A35" s="28">
        <f>Book!A2&amp;" "&amp;Book!B2</f>
        <v/>
      </c>
      <c r="B35" s="34">
        <f>Engine!B50</f>
        <v/>
      </c>
      <c r="C35" s="34">
        <f>Engine!B49</f>
        <v/>
      </c>
    </row>
    <row r="36">
      <c r="A36" s="28">
        <f>Book!A3&amp;" "&amp;Book!B3</f>
        <v/>
      </c>
      <c r="B36" s="34">
        <f>Engine!C50</f>
        <v/>
      </c>
      <c r="C36" s="34">
        <f>Engine!C49</f>
        <v/>
      </c>
    </row>
    <row r="37">
      <c r="A37" s="28">
        <f>Book!A4&amp;" "&amp;Book!B4</f>
        <v/>
      </c>
      <c r="B37" s="34">
        <f>Engine!D50</f>
        <v/>
      </c>
      <c r="C37" s="34">
        <f>Engine!D49</f>
        <v/>
      </c>
    </row>
    <row r="38">
      <c r="A38" s="28">
        <f>Book!A5&amp;" "&amp;Book!B5</f>
        <v/>
      </c>
      <c r="B38" s="34">
        <f>Engine!E50</f>
        <v/>
      </c>
      <c r="C38" s="34">
        <f>Engine!E49</f>
        <v/>
      </c>
    </row>
  </sheetData>
  <mergeCells count="1">
    <mergeCell ref="A3:F3"/>
  </mergeCells>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2026-09-05T15:59:39Z</dcterms:created>
  <dcterms:modified xsi:type="dcterms:W3CDTF">2026-09-05T15:59:39Z</dcterms:modified>
</cp:coreProperties>
</file>